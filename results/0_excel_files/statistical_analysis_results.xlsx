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7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0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Ex11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Ex12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26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Ex13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2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14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2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Ex15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2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98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99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100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103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104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105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106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07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08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09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10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111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12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7850BFFE-4BD7-471E-B4F7-868D6BA71914}" xr6:coauthVersionLast="47" xr6:coauthVersionMax="47" xr10:uidLastSave="{00000000-0000-0000-0000-000000000000}"/>
  <bookViews>
    <workbookView xWindow="-120" yWindow="-120" windowWidth="29040" windowHeight="15840" xr2:uid="{EDF12B0A-C7CB-44A7-ACD0-24B236AB76B9}"/>
  </bookViews>
  <sheets>
    <sheet name="0_file_size_TEST_0" sheetId="2" r:id="rId1"/>
    <sheet name="1_element_count_TEST_0" sheetId="3" r:id="rId2"/>
    <sheet name="2_font_sizes_TEST_0" sheetId="4" r:id="rId3"/>
    <sheet name="3_RGB_value_TEST_0" sheetId="5" r:id="rId4"/>
    <sheet name="4_single_char_TEST_0" sheetId="8" r:id="rId5"/>
    <sheet name="5_space_char_TEST_0" sheetId="10" r:id="rId6"/>
    <sheet name="6_unicode_TEST_0" sheetId="7" r:id="rId7"/>
    <sheet name="all_data_set_unified_file" sheetId="1" r:id="rId8"/>
  </sheets>
  <definedNames>
    <definedName name="_xlchart.v1.0" hidden="1">'1_element_count_TEST_0'!$A$6</definedName>
    <definedName name="_xlchart.v1.1" hidden="1">'1_element_count_TEST_0'!$B$30:$R$30</definedName>
    <definedName name="_xlchart.v1.10" hidden="1">'5_space_char_TEST_0'!$A$6</definedName>
    <definedName name="_xlchart.v1.11" hidden="1">'5_space_char_TEST_0'!$B$6:$R$6</definedName>
    <definedName name="_xlchart.v1.12" hidden="1">'5_space_char_TEST_0'!$A$13</definedName>
    <definedName name="_xlchart.v1.13" hidden="1">'5_space_char_TEST_0'!$B$13:$R$13</definedName>
    <definedName name="_xlchart.v1.14" hidden="1">'5_space_char_TEST_0'!$A$27</definedName>
    <definedName name="_xlchart.v1.15" hidden="1">'5_space_char_TEST_0'!$B$27:$R$27</definedName>
    <definedName name="_xlchart.v1.16" hidden="1">'5_space_char_TEST_0'!$A$20</definedName>
    <definedName name="_xlchart.v1.17" hidden="1">'5_space_char_TEST_0'!$B$20:$R$20</definedName>
    <definedName name="_xlchart.v1.18" hidden="1">'5_space_char_TEST_0'!$A$34</definedName>
    <definedName name="_xlchart.v1.19" hidden="1">'5_space_char_TEST_0'!$B$34:$R$34</definedName>
    <definedName name="_xlchart.v1.2" hidden="1">'1_element_count_TEST_0'!$A$6</definedName>
    <definedName name="_xlchart.v1.20" hidden="1">'6_unicode_TEST_0'!$A$6</definedName>
    <definedName name="_xlchart.v1.21" hidden="1">'6_unicode_TEST_0'!$B$6:$R$6</definedName>
    <definedName name="_xlchart.v1.22" hidden="1">'6_unicode_TEST_0'!$A$13</definedName>
    <definedName name="_xlchart.v1.23" hidden="1">'6_unicode_TEST_0'!$B$13:$R$13</definedName>
    <definedName name="_xlchart.v1.24" hidden="1">'6_unicode_TEST_0'!$A$27</definedName>
    <definedName name="_xlchart.v1.25" hidden="1">'6_unicode_TEST_0'!$B$27:$R$27</definedName>
    <definedName name="_xlchart.v1.26" hidden="1">'6_unicode_TEST_0'!$A$20</definedName>
    <definedName name="_xlchart.v1.27" hidden="1">'6_unicode_TEST_0'!$B$20:$R$20</definedName>
    <definedName name="_xlchart.v1.28" hidden="1">'6_unicode_TEST_0'!$A$34</definedName>
    <definedName name="_xlchart.v1.29" hidden="1">'6_unicode_TEST_0'!$B$34:$R$34</definedName>
    <definedName name="_xlchart.v1.3" hidden="1">'1_element_count_TEST_0'!$B$22:$R$22</definedName>
    <definedName name="_xlchart.v1.4" hidden="1">'1_element_count_TEST_0'!$A$6</definedName>
    <definedName name="_xlchart.v1.5" hidden="1">'1_element_count_TEST_0'!$B$38:$R$38</definedName>
    <definedName name="_xlchart.v1.6" hidden="1">'1_element_count_TEST_0'!$A$6</definedName>
    <definedName name="_xlchart.v1.7" hidden="1">'1_element_count_TEST_0'!$B$6:$R$6</definedName>
    <definedName name="_xlchart.v1.8" hidden="1">'1_element_count_TEST_0'!$A$6</definedName>
    <definedName name="_xlchart.v1.9" hidden="1">'1_element_count_TEST_0'!$B$14:$R$14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11" i="2"/>
  <c r="C12" i="2"/>
  <c r="C18" i="2"/>
  <c r="C19" i="2"/>
  <c r="C25" i="2"/>
  <c r="C26" i="2"/>
  <c r="C32" i="2"/>
  <c r="C33" i="2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78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6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43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78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6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3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</calcChain>
</file>

<file path=xl/sharedStrings.xml><?xml version="1.0" encoding="utf-8"?>
<sst xmlns="http://schemas.openxmlformats.org/spreadsheetml/2006/main" count="497" uniqueCount="94">
  <si>
    <t>Data set</t>
  </si>
  <si>
    <t>Document Name</t>
  </si>
  <si>
    <t>Total Paragraph Count</t>
  </si>
  <si>
    <t>Total Run Element Count</t>
  </si>
  <si>
    <t>Total Text Element Count</t>
  </si>
  <si>
    <t>Run Font Sizes (pt) frequencies</t>
  </si>
  <si>
    <t>Run Font Sizes (pt) frequencies (%)</t>
  </si>
  <si>
    <t>Run RGB colours frequencies</t>
  </si>
  <si>
    <t>Run RGB colours frequencies (%)</t>
  </si>
  <si>
    <t>Total run element count</t>
  </si>
  <si>
    <t>Single Char type frequencies</t>
  </si>
  <si>
    <t>Single Char type frequencies (single run, %)</t>
  </si>
  <si>
    <t>Single Char type frequencies (total runs, %)</t>
  </si>
  <si>
    <t>Total word count</t>
  </si>
  <si>
    <t>Total whitespace count</t>
  </si>
  <si>
    <t>Word to Whitespace ratio (%)</t>
  </si>
  <si>
    <t>Total char count</t>
  </si>
  <si>
    <t>Total non-ASCII char count</t>
  </si>
  <si>
    <t>Total char to non-ASCII char ratio (%)</t>
  </si>
  <si>
    <t>.+20.</t>
  </si>
  <si>
    <t>.20-11.</t>
  </si>
  <si>
    <t>.11.</t>
  </si>
  <si>
    <t>.10-1.</t>
  </si>
  <si>
    <t>.1.</t>
  </si>
  <si>
    <t>black</t>
  </si>
  <si>
    <t>white</t>
  </si>
  <si>
    <t>other</t>
  </si>
  <si>
    <t>uppercase</t>
  </si>
  <si>
    <t>lowercase</t>
  </si>
  <si>
    <t>digit</t>
  </si>
  <si>
    <t>clean</t>
  </si>
  <si>
    <t>49833f5cf0647c2295e3b3bf11a68ec47a813414</t>
  </si>
  <si>
    <t>5F7F36M3NZCHDTIFIVI5JQRBDYNY6KJL</t>
  </si>
  <si>
    <t>65VH6VWWJJCZNGG3XTA7XAPZRAIOGYEV</t>
  </si>
  <si>
    <t>AOZ2LBQOYCC5F3KFBN3FUGN2FODM6DCU</t>
  </si>
  <si>
    <t>AWE3PO5E4TSOCWQPQNPZVRA44RUSABZG</t>
  </si>
  <si>
    <t>CUHGX5XRCG2IOBFKZJO73RCWRBGZTE3J</t>
  </si>
  <si>
    <t>DY75VBIKWAL76NRMMVFOYFQ52DB77TEI</t>
  </si>
  <si>
    <t>f55a8d69c6047f9037f79225c367766987e25f2b</t>
  </si>
  <si>
    <t>f997183fa6bf1ef75e31406d98f025c16e527d20</t>
  </si>
  <si>
    <t>fsi-2010</t>
  </si>
  <si>
    <t>fsi-2019</t>
  </si>
  <si>
    <t>fsi-2021</t>
  </si>
  <si>
    <t>fsi-2022-download</t>
  </si>
  <si>
    <t>FXDCZKVBXPOBKON5ZHKWU6WCDH5BEDYV</t>
  </si>
  <si>
    <t>H75CHMEGQV5GB7Y4YQS4OYSBCPHUFFBY</t>
  </si>
  <si>
    <t>I532QF7XT4CGRZFQBRSA7QQMH3UCWFW7</t>
  </si>
  <si>
    <t>IUJCXHJGQ5XTDLV3CYTCTXLPD77RUA2P</t>
  </si>
  <si>
    <t>LAL27T7CADLHBSTG3MN4LEQI5CT7CLHU</t>
  </si>
  <si>
    <t>MFDBEUJHJSM7EYXX7SA6GULFWNIDHE5Q</t>
  </si>
  <si>
    <t>sa-datasets</t>
  </si>
  <si>
    <t>TEST_0</t>
  </si>
  <si>
    <t>hide_in_text</t>
  </si>
  <si>
    <t>modify_RGB_color_ch</t>
  </si>
  <si>
    <t>unicode_homoglyphs</t>
  </si>
  <si>
    <t>unispace</t>
  </si>
  <si>
    <t>Document Index</t>
  </si>
  <si>
    <t>Element Count</t>
  </si>
  <si>
    <t>Font sizes</t>
  </si>
  <si>
    <t>RGB Value</t>
  </si>
  <si>
    <t>Space char</t>
  </si>
  <si>
    <t>Unicode</t>
  </si>
  <si>
    <t>Single non-whitespace char run element count percentage</t>
  </si>
  <si>
    <t>Single non-whitespace char run elemnt count</t>
  </si>
  <si>
    <t>Single non-whitespace char</t>
  </si>
  <si>
    <t>Data set file amount</t>
  </si>
  <si>
    <t>Document file size (B)</t>
  </si>
  <si>
    <t>Document file size (KB)</t>
  </si>
  <si>
    <t>Document file size change (%)</t>
  </si>
  <si>
    <t>Total Run Element Count Change (%)</t>
  </si>
  <si>
    <t>File Size</t>
  </si>
  <si>
    <t>Document file size (MB)</t>
  </si>
  <si>
    <t>Data set document amount</t>
  </si>
  <si>
    <t>Text Elements Per Run</t>
  </si>
  <si>
    <t>Text Elements Per Paragraph</t>
  </si>
  <si>
    <t>Font Sizes Count (%)</t>
  </si>
  <si>
    <t>Font Sizes Count</t>
  </si>
  <si>
    <t>1'</t>
  </si>
  <si>
    <t>11'</t>
  </si>
  <si>
    <t>'28'</t>
  </si>
  <si>
    <t>Font Sizes (pt)</t>
  </si>
  <si>
    <t>Font Sizes map</t>
  </si>
  <si>
    <t>28'</t>
  </si>
  <si>
    <t>RGB colours frequencies (%)</t>
  </si>
  <si>
    <t>RGB colours frequencies</t>
  </si>
  <si>
    <t>RGB colours</t>
  </si>
  <si>
    <t>Char frequencies (total runs, %)</t>
  </si>
  <si>
    <t>Char frequencies (single run, %)</t>
  </si>
  <si>
    <t>Char frequencies</t>
  </si>
  <si>
    <t>Char type</t>
  </si>
  <si>
    <t>Total run element count percentage (%)</t>
  </si>
  <si>
    <t>Single non-whitespace char run count</t>
  </si>
  <si>
    <t>Non-ASCII counts per paragraph</t>
  </si>
  <si>
    <t>Whitespace counts per 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</si>
</sst>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0" fontId="0" fillId="0" borderId="51" xfId="0" applyBorder="1"/>
    <xf numFmtId="0" fontId="18" fillId="0" borderId="33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0" fillId="0" borderId="0" xfId="0" quotePrefix="1"/>
    <xf numFmtId="0" fontId="18" fillId="0" borderId="47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8696B"/>
      <color rgb="FF63BE7B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'0_file_size_TEST_0'!$B$1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'0_file_size_TEST_0'!$A$5</c:f>
              <c:strCache>
                <c:ptCount val="1"/>
                <c:pt idx="0">
                  <c:v>Document file size (KB)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('0_file_size_TEST_0'!$B$2,'0_file_size_TEST_0'!$B$9,'0_file_size_TEST_0'!$B$16,'0_file_size_TEST_0'!$B$23,'0_file_size_TEST_0'!$B$30)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('0_file_size_TEST_0'!$B$5,'0_file_size_TEST_0'!$B$12,'0_file_size_TEST_0'!$B$19,'0_file_size_TEST_0'!$B$26,'0_file_size_TEST_0'!$B$33)</c:f>
              <c:numCache>
                <c:formatCode>General</c:formatCode>
                <c:ptCount val="5"/>
                <c:pt idx="0">
                  <c:v>17.100000000000001</c:v>
                </c:pt>
                <c:pt idx="1">
                  <c:v>16.46</c:v>
                </c:pt>
                <c:pt idx="2">
                  <c:v>15.77</c:v>
                </c:pt>
                <c:pt idx="3">
                  <c:v>15.36</c:v>
                </c:pt>
                <c:pt idx="4">
                  <c:v>15.74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3-4D26-86D6-4543673DCD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5316968"/>
        <c:axId val="955316248"/>
      </c:barChart>
      <c:lineChart>
        <c:grouping val="standard"/>
        <c:varyColors val="0"/>
        <c:ser>
          <c:idx val="0"/>
          <c:order val="1"/>
          <c:tx>
            <c:v>Document file size change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('0_file_size_TEST_0'!$B$2,'0_file_size_TEST_0'!$B$9,'0_file_size_TEST_0'!$B$16,'0_file_size_TEST_0'!$B$23,'0_file_size_TEST_0'!$B$30)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('0_file_size_TEST_0'!$C$5,'0_file_size_TEST_0'!$C$12,'0_file_size_TEST_0'!$C$19,'0_file_size_TEST_0'!$C$26,'0_file_size_TEST_0'!$C$33)</c:f>
              <c:numCache>
                <c:formatCode>General</c:formatCode>
                <c:ptCount val="5"/>
                <c:pt idx="0">
                  <c:v>100</c:v>
                </c:pt>
                <c:pt idx="1">
                  <c:v>96.26</c:v>
                </c:pt>
                <c:pt idx="2">
                  <c:v>92.22</c:v>
                </c:pt>
                <c:pt idx="3">
                  <c:v>89.82</c:v>
                </c:pt>
                <c:pt idx="4">
                  <c:v>92.05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3-4D26-86D6-4543673DC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786888"/>
        <c:axId val="898783288"/>
      </c:lineChart>
      <c:catAx>
        <c:axId val="955316968"/>
        <c:scaling>
          <c:orientation val="minMax"/>
        </c:scaling>
        <c:delete val="0"/>
        <c:axPos val="b"/>
        <c:title>
          <c:tx>
            <c:strRef>
              <c:f>'0_file_size_TEST_0'!$A$2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16248"/>
        <c:crosses val="autoZero"/>
        <c:auto val="1"/>
        <c:lblAlgn val="ctr"/>
        <c:lblOffset val="100"/>
        <c:noMultiLvlLbl val="0"/>
      </c:catAx>
      <c:valAx>
        <c:axId val="955316248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'0_file_size_TEST_0'!$A$5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16968"/>
        <c:crosses val="autoZero"/>
        <c:crossBetween val="between"/>
      </c:valAx>
      <c:valAx>
        <c:axId val="898783288"/>
        <c:scaling>
          <c:orientation val="minMax"/>
          <c:max val="115"/>
          <c:min val="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Document file size change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786888"/>
        <c:crosses val="max"/>
        <c:crossBetween val="between"/>
      </c:valAx>
      <c:catAx>
        <c:axId val="898786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8783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(clean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'1_element_count_TEST_0'!$A$6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'1_element_count_TEST_0'!$B$6:$R$6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7-4DAE-BF5D-5A3148A541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(hide_in_text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'1_element_count_TEST_0'!$A$14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'1_element_count_TEST_0'!$B$14:$R$14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2-4B81-950B-DFC650A9A0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(modify_RGB_color_ch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'1_element_count_TEST_0'!$A$22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'1_element_count_TEST_0'!$B$22:$R$22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A-447D-85E3-07AF2FA8B1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'1_element_count_TEST_0'!$A$30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'1_element_count_TEST_0'!$B$30:$R$30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4-4B69-946F-A35C7A7831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'1_element_count_TEST_0'!$A$38</c:f>
              <c:strCache>
                <c:ptCount val="1"/>
                <c:pt idx="0">
                  <c:v>Text Elements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'1_element_count_TEST_0'!$B$38:$R$38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5-4B69-8FC2-2BD2D4CEF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'1_element_count_TEST_0'!$B$1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'1_element_count_TEST_0'!$A$3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('1_element_count_TEST_0'!$B$2,'1_element_count_TEST_0'!$B$10,'1_element_count_TEST_0'!$B$18,'1_element_count_TEST_0'!$B$26,'1_element_count_TEST_0'!$B$34)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('1_element_count_TEST_0'!$B$3,'1_element_count_TEST_0'!$B$11,'1_element_count_TEST_0'!$B$19,'1_element_count_TEST_0'!$B$27,'1_element_count_TEST_0'!$B$35)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B-462F-B7D1-905525F52EE6}"/>
            </c:ext>
          </c:extLst>
        </c:ser>
        <c:ser>
          <c:idx val="0"/>
          <c:order val="1"/>
          <c:tx>
            <c:strRef>
              <c:f>'1_element_count_TEST_0'!$A$4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('1_element_count_TEST_0'!$B$2,'1_element_count_TEST_0'!$B$10,'1_element_count_TEST_0'!$B$18,'1_element_count_TEST_0'!$B$26,'1_element_count_TEST_0'!$B$34)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('1_element_count_TEST_0'!$B$4,'1_element_count_TEST_0'!$B$12,'1_element_count_TEST_0'!$B$20,'1_element_count_TEST_0'!$B$28,'1_element_count_TEST_0'!$B$36)</c:f>
              <c:numCache>
                <c:formatCode>General</c:formatCode>
                <c:ptCount val="5"/>
                <c:pt idx="0">
                  <c:v>27</c:v>
                </c:pt>
                <c:pt idx="1">
                  <c:v>971</c:v>
                </c:pt>
                <c:pt idx="2">
                  <c:v>236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B-462F-B7D1-905525F52EE6}"/>
            </c:ext>
          </c:extLst>
        </c:ser>
        <c:ser>
          <c:idx val="2"/>
          <c:order val="2"/>
          <c:tx>
            <c:strRef>
              <c:f>'1_element_count_TEST_0'!$A$5</c:f>
              <c:strCache>
                <c:ptCount val="1"/>
                <c:pt idx="0">
                  <c:v>Total Text Element Count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('1_element_count_TEST_0'!$B$5,'1_element_count_TEST_0'!$B$13,'1_element_count_TEST_0'!$B$21,'1_element_count_TEST_0'!$B$29,'1_element_count_TEST_0'!$B$37)</c:f>
              <c:numCache>
                <c:formatCode>General</c:formatCode>
                <c:ptCount val="5"/>
                <c:pt idx="0">
                  <c:v>26</c:v>
                </c:pt>
                <c:pt idx="1">
                  <c:v>970</c:v>
                </c:pt>
                <c:pt idx="2">
                  <c:v>235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B-462F-B7D1-905525F52E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5891304"/>
        <c:axId val="985890584"/>
      </c:barChart>
      <c:catAx>
        <c:axId val="985891304"/>
        <c:scaling>
          <c:orientation val="minMax"/>
        </c:scaling>
        <c:delete val="0"/>
        <c:axPos val="b"/>
        <c:title>
          <c:tx>
            <c:strRef>
              <c:f>'1_element_count_TEST_0'!$A$2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90584"/>
        <c:crosses val="autoZero"/>
        <c:auto val="1"/>
        <c:lblAlgn val="ctr"/>
        <c:lblOffset val="100"/>
        <c:noMultiLvlLbl val="0"/>
      </c:catAx>
      <c:valAx>
        <c:axId val="98589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Element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91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'1_element_count_TEST_0'!$B$2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'1_element_count_TEST_0'!$B$6:$R$6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7-4FEA-BF78-E3A202F7E35C}"/>
            </c:ext>
          </c:extLst>
        </c:ser>
        <c:ser>
          <c:idx val="2"/>
          <c:order val="1"/>
          <c:tx>
            <c:strRef>
              <c:f>'1_element_count_TEST_0'!$B$10</c:f>
              <c:strCache>
                <c:ptCount val="1"/>
                <c:pt idx="0">
                  <c:v>hide_in_text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'1_element_count_TEST_0'!$B$14:$R$14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7-4FEA-BF78-E3A202F7E35C}"/>
            </c:ext>
          </c:extLst>
        </c:ser>
        <c:ser>
          <c:idx val="3"/>
          <c:order val="2"/>
          <c:tx>
            <c:strRef>
              <c:f>'1_element_count_TEST_0'!$B$18</c:f>
              <c:strCache>
                <c:ptCount val="1"/>
                <c:pt idx="0">
                  <c:v>modify_RGB_color_ch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'1_element_count_TEST_0'!$B$22:$R$22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7-4FEA-BF78-E3A202F7E35C}"/>
            </c:ext>
          </c:extLst>
        </c:ser>
        <c:ser>
          <c:idx val="0"/>
          <c:order val="3"/>
          <c:tx>
            <c:strRef>
              <c:f>'1_element_count_TEST_0'!$B$26</c:f>
              <c:strCache>
                <c:ptCount val="1"/>
                <c:pt idx="0">
                  <c:v>unispace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'1_element_count_TEST_0'!$B$30:$R$30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7-4FEA-BF78-E3A202F7E35C}"/>
            </c:ext>
          </c:extLst>
        </c:ser>
        <c:ser>
          <c:idx val="4"/>
          <c:order val="4"/>
          <c:tx>
            <c:strRef>
              <c:f>'1_element_count_TEST_0'!$B$34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'1_element_count_TEST_0'!$B$38:$R$38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7-4FEA-BF78-E3A202F7E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719449152"/>
        <c:axId val="719449512"/>
      </c:bar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'1_element_count_TEST_0'!$B$2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'1_element_count_TEST_0'!$B$6:$R$6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D-4801-9185-E31AB3EF47B6}"/>
            </c:ext>
          </c:extLst>
        </c:ser>
        <c:ser>
          <c:idx val="2"/>
          <c:order val="1"/>
          <c:tx>
            <c:strRef>
              <c:f>'1_element_count_TEST_0'!$B$10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'1_element_count_TEST_0'!$B$14:$R$14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181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D-4801-9185-E31AB3EF47B6}"/>
            </c:ext>
          </c:extLst>
        </c:ser>
        <c:ser>
          <c:idx val="3"/>
          <c:order val="2"/>
          <c:tx>
            <c:strRef>
              <c:f>'1_element_count_TEST_0'!$B$18</c:f>
              <c:strCache>
                <c:ptCount val="1"/>
                <c:pt idx="0">
                  <c:v>modify_RGB_color_ch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'1_element_count_TEST_0'!$B$22:$R$22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210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DD-4801-9185-E31AB3EF47B6}"/>
            </c:ext>
          </c:extLst>
        </c:ser>
        <c:ser>
          <c:idx val="0"/>
          <c:order val="3"/>
          <c:tx>
            <c:strRef>
              <c:f>'1_element_count_TEST_0'!$B$26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'1_element_count_TEST_0'!$B$30:$R$30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DD-4801-9185-E31AB3EF47B6}"/>
            </c:ext>
          </c:extLst>
        </c:ser>
        <c:ser>
          <c:idx val="4"/>
          <c:order val="4"/>
          <c:tx>
            <c:strRef>
              <c:f>'1_element_count_TEST_0'!$B$34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'1_element_count_TEST_0'!$B$38:$R$38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DD-4801-9185-E31AB3EF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449152"/>
        <c:axId val="719449512"/>
      </c:lineChart>
      <c:catAx>
        <c:axId val="71944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Paragraph</a:t>
                </a:r>
                <a:r>
                  <a:rPr lang="lv-LV" b="1" baseline="0"/>
                  <a:t> Index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49512"/>
        <c:crosses val="autoZero"/>
        <c:auto val="1"/>
        <c:lblAlgn val="ctr"/>
        <c:lblOffset val="100"/>
        <c:noMultiLvlLbl val="0"/>
      </c:catAx>
      <c:valAx>
        <c:axId val="719449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Text Element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71944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'2_font_sizes_TEST_0'!$B$1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'2_font_sizes_TEST_0'!$B$4</c:f>
              <c:strCache>
                <c:ptCount val="1"/>
                <c:pt idx="0">
                  <c:v>28'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('2_font_sizes_TEST_0'!$B$2,'2_font_sizes_TEST_0'!$B$9,'2_font_sizes_TEST_0'!$B$16,'2_font_sizes_TEST_0'!$B$23,'2_font_sizes_TEST_0'!$B$30)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('2_font_sizes_TEST_0'!$B$5,'2_font_sizes_TEST_0'!$B$12,'2_font_sizes_TEST_0'!$B$19,'2_font_sizes_TEST_0'!$B$26,'2_font_sizes_TEST_0'!$B$33)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3-47EE-8126-93A566CC1997}"/>
            </c:ext>
          </c:extLst>
        </c:ser>
        <c:ser>
          <c:idx val="1"/>
          <c:order val="1"/>
          <c:tx>
            <c:strRef>
              <c:f>'2_font_sizes_TEST_0'!$C$4</c:f>
              <c:strCache>
                <c:ptCount val="1"/>
                <c:pt idx="0">
                  <c:v>11'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('2_font_sizes_TEST_0'!$B$2,'2_font_sizes_TEST_0'!$B$9,'2_font_sizes_TEST_0'!$B$16,'2_font_sizes_TEST_0'!$B$23,'2_font_sizes_TEST_0'!$B$30)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('2_font_sizes_TEST_0'!$C$5,'2_font_sizes_TEST_0'!$C$12,'2_font_sizes_TEST_0'!$C$19,'2_font_sizes_TEST_0'!$C$26,'2_font_sizes_TEST_0'!$C$33)</c:f>
              <c:numCache>
                <c:formatCode>General</c:formatCode>
                <c:ptCount val="5"/>
                <c:pt idx="0">
                  <c:v>25</c:v>
                </c:pt>
                <c:pt idx="1">
                  <c:v>733</c:v>
                </c:pt>
                <c:pt idx="2">
                  <c:v>234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3-47EE-8126-93A566CC1997}"/>
            </c:ext>
          </c:extLst>
        </c:ser>
        <c:ser>
          <c:idx val="2"/>
          <c:order val="2"/>
          <c:tx>
            <c:strRef>
              <c:f>'2_font_sizes_TEST_0'!$D$4</c:f>
              <c:strCache>
                <c:ptCount val="1"/>
                <c:pt idx="0">
                  <c:v>1'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('2_font_sizes_TEST_0'!$B$2,'2_font_sizes_TEST_0'!$B$9,'2_font_sizes_TEST_0'!$B$16,'2_font_sizes_TEST_0'!$B$23,'2_font_sizes_TEST_0'!$B$30)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('2_font_sizes_TEST_0'!$D$5,'2_font_sizes_TEST_0'!$D$12,'2_font_sizes_TEST_0'!$D$19,'2_font_sizes_TEST_0'!$D$26,'2_font_sizes_TEST_0'!$D$33)</c:f>
              <c:numCache>
                <c:formatCode>General</c:formatCode>
                <c:ptCount val="5"/>
                <c:pt idx="0">
                  <c:v>0</c:v>
                </c:pt>
                <c:pt idx="1">
                  <c:v>236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3-47EE-8126-93A566CC19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'2_font_sizes_TEST_0'!$A$2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'2_font_sizes_TEST_0'!$A$6</c:f>
              <c:strCache>
                <c:ptCount val="1"/>
                <c:pt idx="0">
                  <c:v>Font Sizes Count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'3_RGB_value_TEST_0'!$B$1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'3_RGB_value_TEST_0'!$B$3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('3_RGB_value_TEST_0'!$B$2,'3_RGB_value_TEST_0'!$B$8,'3_RGB_value_TEST_0'!$B$14,'3_RGB_value_TEST_0'!$B$20,'3_RGB_value_TEST_0'!$B$26)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('3_RGB_value_TEST_0'!$B$4,'3_RGB_value_TEST_0'!$B$10,'3_RGB_value_TEST_0'!$B$16,'3_RGB_value_TEST_0'!$B$22,'3_RGB_value_TEST_0'!$B$28)</c:f>
              <c:numCache>
                <c:formatCode>General</c:formatCode>
                <c:ptCount val="5"/>
                <c:pt idx="0">
                  <c:v>27</c:v>
                </c:pt>
                <c:pt idx="1">
                  <c:v>735</c:v>
                </c:pt>
                <c:pt idx="2">
                  <c:v>60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5-476C-92C0-90A7EAE0C0AF}"/>
            </c:ext>
          </c:extLst>
        </c:ser>
        <c:ser>
          <c:idx val="1"/>
          <c:order val="1"/>
          <c:tx>
            <c:strRef>
              <c:f>'3_RGB_value_TEST_0'!$C$3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('3_RGB_value_TEST_0'!$C$4,'3_RGB_value_TEST_0'!$C$10,'3_RGB_value_TEST_0'!$C$16,'3_RGB_value_TEST_0'!$C$22,'3_RGB_value_TEST_0'!$C$28)</c:f>
              <c:numCache>
                <c:formatCode>General</c:formatCode>
                <c:ptCount val="5"/>
                <c:pt idx="0">
                  <c:v>0</c:v>
                </c:pt>
                <c:pt idx="1">
                  <c:v>236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5-476C-92C0-90A7EAE0C0AF}"/>
            </c:ext>
          </c:extLst>
        </c:ser>
        <c:ser>
          <c:idx val="2"/>
          <c:order val="2"/>
          <c:tx>
            <c:strRef>
              <c:f>'3_RGB_value_TEST_0'!$D$3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('3_RGB_value_TEST_0'!$D$4,'3_RGB_value_TEST_0'!$D$10,'3_RGB_value_TEST_0'!$D$16,'3_RGB_value_TEST_0'!$D$22,'3_RGB_value_TEST_0'!$D$28)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E5-476C-92C0-90A7EAE0C0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'3_RGB_value_TEST_0'!$A$2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'3_RGB_value_TEST_0'!$A$5</c:f>
              <c:strCache>
                <c:ptCount val="1"/>
                <c:pt idx="0">
                  <c:v>RGB colours frequencies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'4_single_char_TEST_0'!$A$8</c:f>
          <c:strCache>
            <c:ptCount val="1"/>
            <c:pt idx="0">
              <c:v>Char frequencies (single run, 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'4_single_char_TEST_0'!$E$6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('4_single_char_TEST_0'!$E$8,'4_single_char_TEST_0'!$E$18,'4_single_char_TEST_0'!$E$28,'4_single_char_TEST_0'!$E$38,'4_single_char_TEST_0'!$E$48)</c:f>
              <c:numCache>
                <c:formatCode>General</c:formatCode>
                <c:ptCount val="5"/>
                <c:pt idx="0">
                  <c:v>50</c:v>
                </c:pt>
                <c:pt idx="1">
                  <c:v>0.82</c:v>
                </c:pt>
                <c:pt idx="2">
                  <c:v>3.93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8-4101-95FB-CC7A6E044758}"/>
            </c:ext>
          </c:extLst>
        </c:ser>
        <c:ser>
          <c:idx val="4"/>
          <c:order val="1"/>
          <c:tx>
            <c:strRef>
              <c:f>'4_single_char_TEST_0'!$D$6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('4_single_char_TEST_0'!$D$8,'4_single_char_TEST_0'!$D$18,'4_single_char_TEST_0'!$D$28,'4_single_char_TEST_0'!$D$38,'4_single_char_TEST_0'!$D$48)</c:f>
              <c:numCache>
                <c:formatCode>General</c:formatCode>
                <c:ptCount val="5"/>
                <c:pt idx="0">
                  <c:v>0</c:v>
                </c:pt>
                <c:pt idx="1">
                  <c:v>11.48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8-4101-95FB-CC7A6E044758}"/>
            </c:ext>
          </c:extLst>
        </c:ser>
        <c:ser>
          <c:idx val="3"/>
          <c:order val="2"/>
          <c:tx>
            <c:strRef>
              <c:f>'4_single_char_TEST_0'!$C$6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('4_single_char_TEST_0'!$C$8,'4_single_char_TEST_0'!$C$18,'4_single_char_TEST_0'!$C$28,'4_single_char_TEST_0'!$C$38,'4_single_char_TEST_0'!$C$48)</c:f>
              <c:numCache>
                <c:formatCode>General</c:formatCode>
                <c:ptCount val="5"/>
                <c:pt idx="0">
                  <c:v>50</c:v>
                </c:pt>
                <c:pt idx="1">
                  <c:v>41.8</c:v>
                </c:pt>
                <c:pt idx="2">
                  <c:v>95.51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8-4101-95FB-CC7A6E044758}"/>
            </c:ext>
          </c:extLst>
        </c:ser>
        <c:ser>
          <c:idx val="2"/>
          <c:order val="3"/>
          <c:tx>
            <c:strRef>
              <c:f>'4_single_char_TEST_0'!$B$6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('4_single_char_TEST_0'!$B$8,'4_single_char_TEST_0'!$B$18,'4_single_char_TEST_0'!$B$28,'4_single_char_TEST_0'!$B$38,'4_single_char_TEST_0'!$B$48)</c:f>
              <c:numCache>
                <c:formatCode>General</c:formatCode>
                <c:ptCount val="5"/>
                <c:pt idx="0">
                  <c:v>0</c:v>
                </c:pt>
                <c:pt idx="1">
                  <c:v>45.9</c:v>
                </c:pt>
                <c:pt idx="2">
                  <c:v>0.56000000000000005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8-4101-95FB-CC7A6E0447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'4_single_char_TEST_0'!$A$2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'4_single_char_TEST_0'!$A$18</c:f>
              <c:strCache>
                <c:ptCount val="1"/>
                <c:pt idx="0">
                  <c:v>Char frequencies (single run, 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'4_single_char_TEST_0'!$A$9</c:f>
          <c:strCache>
            <c:ptCount val="1"/>
            <c:pt idx="0">
              <c:v>Char frequencies (total runs, 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'4_single_char_TEST_0'!$E$6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('4_single_char_TEST_0'!$E$9,'4_single_char_TEST_0'!$E$19,'4_single_char_TEST_0'!$E$29,'4_single_char_TEST_0'!$E$39,'4_single_char_TEST_0'!$E$49)</c:f>
              <c:numCache>
                <c:formatCode>General</c:formatCode>
                <c:ptCount val="5"/>
                <c:pt idx="0">
                  <c:v>3.7</c:v>
                </c:pt>
                <c:pt idx="1">
                  <c:v>0.21</c:v>
                </c:pt>
                <c:pt idx="2">
                  <c:v>2.97</c:v>
                </c:pt>
                <c:pt idx="3">
                  <c:v>3.7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D-49BD-94FE-1ADCF965EAF4}"/>
            </c:ext>
          </c:extLst>
        </c:ser>
        <c:ser>
          <c:idx val="4"/>
          <c:order val="1"/>
          <c:tx>
            <c:strRef>
              <c:f>'4_single_char_TEST_0'!$D$6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('4_single_char_TEST_0'!$D$9,'4_single_char_TEST_0'!$D$19,'4_single_char_TEST_0'!$D$29,'4_single_char_TEST_0'!$D$39,'4_single_char_TEST_0'!$D$49)</c:f>
              <c:numCache>
                <c:formatCode>General</c:formatCode>
                <c:ptCount val="5"/>
                <c:pt idx="0">
                  <c:v>0</c:v>
                </c:pt>
                <c:pt idx="1">
                  <c:v>2.88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D-49BD-94FE-1ADCF965EAF4}"/>
            </c:ext>
          </c:extLst>
        </c:ser>
        <c:ser>
          <c:idx val="3"/>
          <c:order val="2"/>
          <c:tx>
            <c:strRef>
              <c:f>'4_single_char_TEST_0'!$C$6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('4_single_char_TEST_0'!$C$9,'4_single_char_TEST_0'!$C$19,'4_single_char_TEST_0'!$C$29,'4_single_char_TEST_0'!$C$39,'4_single_char_TEST_0'!$C$49)</c:f>
              <c:numCache>
                <c:formatCode>General</c:formatCode>
                <c:ptCount val="5"/>
                <c:pt idx="0">
                  <c:v>3.7</c:v>
                </c:pt>
                <c:pt idx="1">
                  <c:v>10.5</c:v>
                </c:pt>
                <c:pt idx="2">
                  <c:v>72.03</c:v>
                </c:pt>
                <c:pt idx="3">
                  <c:v>3.7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D-49BD-94FE-1ADCF965EAF4}"/>
            </c:ext>
          </c:extLst>
        </c:ser>
        <c:ser>
          <c:idx val="2"/>
          <c:order val="3"/>
          <c:tx>
            <c:strRef>
              <c:f>'4_single_char_TEST_0'!$B$6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('4_single_char_TEST_0'!$B$9,'4_single_char_TEST_0'!$B$19,'4_single_char_TEST_0'!$B$29,'4_single_char_TEST_0'!$B$39,'4_single_char_TEST_0'!$B$49)</c:f>
              <c:numCache>
                <c:formatCode>General</c:formatCode>
                <c:ptCount val="5"/>
                <c:pt idx="0">
                  <c:v>0</c:v>
                </c:pt>
                <c:pt idx="1">
                  <c:v>11.53</c:v>
                </c:pt>
                <c:pt idx="2">
                  <c:v>0.42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D-49BD-94FE-1ADCF965E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'4_single_char_TEST_0'!$A$2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'4_single_char_TEST_0'!$A$9</c:f>
              <c:strCache>
                <c:ptCount val="1"/>
                <c:pt idx="0">
                  <c:v>Char frequencies (total runs, 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ajorUnit val="10"/>
        <c:minorUnit val="2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'4_single_char_TEST_0'!$A$7</c:f>
          <c:strCache>
            <c:ptCount val="1"/>
            <c:pt idx="0">
              <c:v>Char frequencies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'4_single_char_TEST_0'!$E$6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('4_single_char_TEST_0'!$E$7,'4_single_char_TEST_0'!$E$17,'4_single_char_TEST_0'!$E$27,'4_single_char_TEST_0'!$E$37,'4_single_char_TEST_0'!$E$47)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8-41E3-83AD-E6821EC9E7E0}"/>
            </c:ext>
          </c:extLst>
        </c:ser>
        <c:ser>
          <c:idx val="4"/>
          <c:order val="1"/>
          <c:tx>
            <c:strRef>
              <c:f>'4_single_char_TEST_0'!$D$6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('4_single_char_TEST_0'!$D$7,'4_single_char_TEST_0'!$D$17,'4_single_char_TEST_0'!$D$27,'4_single_char_TEST_0'!$D$37,'4_single_char_TEST_0'!$D$47)</c:f>
              <c:numCache>
                <c:formatCode>General</c:formatCode>
                <c:ptCount val="5"/>
                <c:pt idx="0">
                  <c:v>0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8-41E3-83AD-E6821EC9E7E0}"/>
            </c:ext>
          </c:extLst>
        </c:ser>
        <c:ser>
          <c:idx val="3"/>
          <c:order val="2"/>
          <c:tx>
            <c:strRef>
              <c:f>'4_single_char_TEST_0'!$C$6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('4_single_char_TEST_0'!$C$7,'4_single_char_TEST_0'!$C$17,'4_single_char_TEST_0'!$C$27,'4_single_char_TEST_0'!$C$37,'4_single_char_TEST_0'!$C$47)</c:f>
              <c:numCache>
                <c:formatCode>General</c:formatCode>
                <c:ptCount val="5"/>
                <c:pt idx="0">
                  <c:v>1</c:v>
                </c:pt>
                <c:pt idx="1">
                  <c:v>102</c:v>
                </c:pt>
                <c:pt idx="2">
                  <c:v>170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18-41E3-83AD-E6821EC9E7E0}"/>
            </c:ext>
          </c:extLst>
        </c:ser>
        <c:ser>
          <c:idx val="2"/>
          <c:order val="3"/>
          <c:tx>
            <c:strRef>
              <c:f>'4_single_char_TEST_0'!$B$6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('4_single_char_TEST_0'!$B$7,'4_single_char_TEST_0'!$B$17,'4_single_char_TEST_0'!$B$27,'4_single_char_TEST_0'!$B$37,'4_single_char_TEST_0'!$B$47)</c:f>
              <c:numCache>
                <c:formatCode>General</c:formatCode>
                <c:ptCount val="5"/>
                <c:pt idx="0">
                  <c:v>0</c:v>
                </c:pt>
                <c:pt idx="1">
                  <c:v>112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18-41E3-83AD-E6821EC9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catAx>
        <c:axId val="885812056"/>
        <c:scaling>
          <c:orientation val="minMax"/>
        </c:scaling>
        <c:delete val="0"/>
        <c:axPos val="b"/>
        <c:title>
          <c:tx>
            <c:strRef>
              <c:f>'4_single_char_TEST_0'!$A$2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'4_single_char_TEST_0'!$A$3</c:f>
              <c:strCache>
                <c:ptCount val="1"/>
                <c:pt idx="0">
                  <c:v>Single non-whitespace char run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inorUnit val="2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'4_single_char_TEST_0'!$A$7</c:f>
          <c:strCache>
            <c:ptCount val="1"/>
            <c:pt idx="0">
              <c:v>Char frequencies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'4_single_char_TEST_0'!$E$6</c:f>
              <c:strCache>
                <c:ptCount val="1"/>
                <c:pt idx="0">
                  <c:v>other</c:v>
                </c:pt>
              </c:strCache>
            </c:strRef>
          </c:tx>
          <c:spPr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('4_single_char_TEST_0'!$E$7,'4_single_char_TEST_0'!$E$17,'4_single_char_TEST_0'!$E$27,'4_single_char_TEST_0'!$E$37,'4_single_char_TEST_0'!$E$47)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5-4596-946A-8797CA5A5554}"/>
            </c:ext>
          </c:extLst>
        </c:ser>
        <c:ser>
          <c:idx val="4"/>
          <c:order val="1"/>
          <c:tx>
            <c:strRef>
              <c:f>'4_single_char_TEST_0'!$D$6</c:f>
              <c:strCache>
                <c:ptCount val="1"/>
                <c:pt idx="0">
                  <c:v>digit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('4_single_char_TEST_0'!$D$7,'4_single_char_TEST_0'!$D$17,'4_single_char_TEST_0'!$D$27,'4_single_char_TEST_0'!$D$37,'4_single_char_TEST_0'!$D$47)</c:f>
              <c:numCache>
                <c:formatCode>General</c:formatCode>
                <c:ptCount val="5"/>
                <c:pt idx="0">
                  <c:v>0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5-4596-946A-8797CA5A5554}"/>
            </c:ext>
          </c:extLst>
        </c:ser>
        <c:ser>
          <c:idx val="3"/>
          <c:order val="2"/>
          <c:tx>
            <c:strRef>
              <c:f>'4_single_char_TEST_0'!$C$6</c:f>
              <c:strCache>
                <c:ptCount val="1"/>
                <c:pt idx="0">
                  <c:v>lowercase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('4_single_char_TEST_0'!$C$7,'4_single_char_TEST_0'!$C$17,'4_single_char_TEST_0'!$C$27,'4_single_char_TEST_0'!$C$37,'4_single_char_TEST_0'!$C$47)</c:f>
              <c:numCache>
                <c:formatCode>General</c:formatCode>
                <c:ptCount val="5"/>
                <c:pt idx="0">
                  <c:v>1</c:v>
                </c:pt>
                <c:pt idx="1">
                  <c:v>102</c:v>
                </c:pt>
                <c:pt idx="2">
                  <c:v>170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5-4596-946A-8797CA5A5554}"/>
            </c:ext>
          </c:extLst>
        </c:ser>
        <c:ser>
          <c:idx val="2"/>
          <c:order val="3"/>
          <c:tx>
            <c:strRef>
              <c:f>'4_single_char_TEST_0'!$B$6</c:f>
              <c:strCache>
                <c:ptCount val="1"/>
                <c:pt idx="0">
                  <c:v>uppercase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('4_single_char_TEST_0'!$B$2,'4_single_char_TEST_0'!$B$12,'4_single_char_TEST_0'!$B$22,'4_single_char_TEST_0'!$B$32,'4_single_char_TEST_0'!$B$42)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('4_single_char_TEST_0'!$B$7,'4_single_char_TEST_0'!$B$17,'4_single_char_TEST_0'!$B$27,'4_single_char_TEST_0'!$B$37,'4_single_char_TEST_0'!$B$47)</c:f>
              <c:numCache>
                <c:formatCode>General</c:formatCode>
                <c:ptCount val="5"/>
                <c:pt idx="0">
                  <c:v>0</c:v>
                </c:pt>
                <c:pt idx="1">
                  <c:v>112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5-4596-946A-8797CA5A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812056"/>
        <c:axId val="885807736"/>
      </c:barChart>
      <c:lineChart>
        <c:grouping val="standard"/>
        <c:varyColors val="0"/>
        <c:ser>
          <c:idx val="0"/>
          <c:order val="4"/>
          <c:tx>
            <c:strRef>
              <c:f>'4_single_char_TEST_0'!$A$5</c:f>
              <c:strCache>
                <c:ptCount val="1"/>
                <c:pt idx="0">
                  <c:v>Total run element count percentage (%)</c:v>
                </c:pt>
              </c:strCache>
            </c:strRef>
          </c:tx>
          <c:marker>
            <c:symbol val="none"/>
          </c:marker>
          <c:val>
            <c:numRef>
              <c:f>('4_single_char_TEST_0'!$B$5,'4_single_char_TEST_0'!$B$15,'4_single_char_TEST_0'!$B$25,'4_single_char_TEST_0'!$B$35,'4_single_char_TEST_0'!$B$45)</c:f>
              <c:numCache>
                <c:formatCode>General</c:formatCode>
                <c:ptCount val="5"/>
                <c:pt idx="0">
                  <c:v>7.41</c:v>
                </c:pt>
                <c:pt idx="1">
                  <c:v>25.13</c:v>
                </c:pt>
                <c:pt idx="2">
                  <c:v>75.42</c:v>
                </c:pt>
                <c:pt idx="3">
                  <c:v>7.41</c:v>
                </c:pt>
                <c:pt idx="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B5-4596-946A-8797CA5A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259384"/>
        <c:axId val="710258664"/>
      </c:lineChart>
      <c:catAx>
        <c:axId val="885812056"/>
        <c:scaling>
          <c:orientation val="minMax"/>
        </c:scaling>
        <c:delete val="0"/>
        <c:axPos val="b"/>
        <c:title>
          <c:tx>
            <c:strRef>
              <c:f>'4_single_char_TEST_0'!$A$2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07736"/>
        <c:crosses val="autoZero"/>
        <c:auto val="1"/>
        <c:lblAlgn val="ctr"/>
        <c:lblOffset val="100"/>
        <c:noMultiLvlLbl val="0"/>
      </c:catAx>
      <c:valAx>
        <c:axId val="8858077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'4_single_char_TEST_0'!$A$3</c:f>
              <c:strCache>
                <c:ptCount val="1"/>
                <c:pt idx="0">
                  <c:v>Single non-whitespace char run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12056"/>
        <c:crosses val="autoZero"/>
        <c:crossBetween val="between"/>
        <c:minorUnit val="2"/>
      </c:valAx>
      <c:valAx>
        <c:axId val="710258664"/>
        <c:scaling>
          <c:orientation val="minMax"/>
          <c:max val="100"/>
        </c:scaling>
        <c:delete val="0"/>
        <c:axPos val="r"/>
        <c:title>
          <c:tx>
            <c:strRef>
              <c:f>'4_single_char_TEST_0'!$A$5</c:f>
              <c:strCache>
                <c:ptCount val="1"/>
                <c:pt idx="0">
                  <c:v>Total run element count percentage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710259384"/>
        <c:crosses val="max"/>
        <c:crossBetween val="between"/>
      </c:valAx>
      <c:catAx>
        <c:axId val="710259384"/>
        <c:scaling>
          <c:orientation val="minMax"/>
        </c:scaling>
        <c:delete val="1"/>
        <c:axPos val="b"/>
        <c:majorTickMark val="out"/>
        <c:minorTickMark val="none"/>
        <c:tickLblPos val="nextTo"/>
        <c:crossAx val="71025866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(clean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'5_space_char_TEST_0'!$B$6:$R$6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4-4B05-ADAE-394B7CBE9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(hide_in_text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'5_space_char_TEST_0'!$A$13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'5_space_char_TEST_0'!$B$13:$R$13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2-4CF6-B3C9-EBC84DE31C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Whitespace counts per paragraph</a:t>
            </a:r>
            <a:r>
              <a:rPr lang="lv-LV"/>
              <a:t> (modify_RGB_color_ch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'5_space_char_TEST_0'!$A$20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'5_space_char_TEST_0'!$B$20:$R$20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2-47F0-8052-0B806D586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Whitespace counts per paragraph</a:t>
            </a:r>
            <a:r>
              <a:rPr lang="lv-LV" b="1"/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'5_space_char_TEST_0'!$A$27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'5_space_char_TEST_0'!$B$27:$R$27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2-467C-8E0E-E28DEC8E9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Whitespace counts per paragraph</a:t>
            </a:r>
            <a:r>
              <a:rPr lang="lv-LV" b="1"/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'5_space_char_TEST_0'!$A$34</c:f>
              <c:strCache>
                <c:ptCount val="1"/>
                <c:pt idx="0">
                  <c:v>Whitespace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'5_space_char_TEST_0'!$B$34:$R$34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0-4642-9C9E-EB40E24C41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Whitespace counts per paragraph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'5_space_char_TEST_0'!$B$2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'5_space_char_TEST_0'!$B$6:$R$6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6-4F80-9D2F-7E255D4CC49A}"/>
            </c:ext>
          </c:extLst>
        </c:ser>
        <c:ser>
          <c:idx val="3"/>
          <c:order val="1"/>
          <c:tx>
            <c:strRef>
              <c:f>'5_space_char_TEST_0'!$B$9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'5_space_char_TEST_0'!$B$13:$R$13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6-4F80-9D2F-7E255D4CC49A}"/>
            </c:ext>
          </c:extLst>
        </c:ser>
        <c:ser>
          <c:idx val="4"/>
          <c:order val="2"/>
          <c:tx>
            <c:strRef>
              <c:f>'5_space_char_TEST_0'!$B$16</c:f>
              <c:strCache>
                <c:ptCount val="1"/>
                <c:pt idx="0">
                  <c:v>modify_RGB_color_ch</c:v>
                </c:pt>
              </c:strCache>
            </c:strRef>
          </c:tx>
          <c:marker>
            <c:symbol val="none"/>
          </c:marker>
          <c:val>
            <c:numRef>
              <c:f>'5_space_char_TEST_0'!$B$20:$R$20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6-4F80-9D2F-7E255D4CC49A}"/>
            </c:ext>
          </c:extLst>
        </c:ser>
        <c:ser>
          <c:idx val="5"/>
          <c:order val="3"/>
          <c:tx>
            <c:strRef>
              <c:f>'5_space_char_TEST_0'!$B$23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'5_space_char_TEST_0'!$B$27:$R$27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6-4F80-9D2F-7E255D4CC49A}"/>
            </c:ext>
          </c:extLst>
        </c:ser>
        <c:ser>
          <c:idx val="1"/>
          <c:order val="4"/>
          <c:tx>
            <c:strRef>
              <c:f>'5_space_char_TEST_0'!$B$30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'5_space_char_TEST_0'!$B$34:$R$34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46-4F80-9D2F-7E255D4CC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81592"/>
        <c:axId val="702681952"/>
      </c:line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Whitespace counts per paragraph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'5_space_char_TEST_0'!$B$2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'5_space_char_TEST_0'!$B$6:$R$6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9-40D6-A1BC-C479C096CF14}"/>
            </c:ext>
          </c:extLst>
        </c:ser>
        <c:ser>
          <c:idx val="3"/>
          <c:order val="1"/>
          <c:tx>
            <c:strRef>
              <c:f>'5_space_char_TEST_0'!$B$9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invertIfNegative val="0"/>
          <c:val>
            <c:numRef>
              <c:f>'5_space_char_TEST_0'!$B$13:$R$13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96</c:v>
                </c:pt>
                <c:pt idx="12">
                  <c:v>106</c:v>
                </c:pt>
                <c:pt idx="13">
                  <c:v>180</c:v>
                </c:pt>
                <c:pt idx="14">
                  <c:v>104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40D6-A1BC-C479C096CF14}"/>
            </c:ext>
          </c:extLst>
        </c:ser>
        <c:ser>
          <c:idx val="4"/>
          <c:order val="2"/>
          <c:tx>
            <c:strRef>
              <c:f>'5_space_char_TEST_0'!$B$16</c:f>
              <c:strCache>
                <c:ptCount val="1"/>
                <c:pt idx="0">
                  <c:v>modify_RGB_color_ch</c:v>
                </c:pt>
              </c:strCache>
            </c:strRef>
          </c:tx>
          <c:invertIfNegative val="0"/>
          <c:val>
            <c:numRef>
              <c:f>'5_space_char_TEST_0'!$B$20:$R$20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9-40D6-A1BC-C479C096CF14}"/>
            </c:ext>
          </c:extLst>
        </c:ser>
        <c:ser>
          <c:idx val="5"/>
          <c:order val="3"/>
          <c:tx>
            <c:strRef>
              <c:f>'5_space_char_TEST_0'!$B$23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invertIfNegative val="0"/>
          <c:val>
            <c:numRef>
              <c:f>'5_space_char_TEST_0'!$B$27:$R$27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95</c:v>
                </c:pt>
                <c:pt idx="13">
                  <c:v>169</c:v>
                </c:pt>
                <c:pt idx="14">
                  <c:v>85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9-40D6-A1BC-C479C096CF14}"/>
            </c:ext>
          </c:extLst>
        </c:ser>
        <c:ser>
          <c:idx val="1"/>
          <c:order val="4"/>
          <c:tx>
            <c:strRef>
              <c:f>'5_space_char_TEST_0'!$B$30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'5_space_char_TEST_0'!$B$34:$R$34</c:f>
              <c:numCache>
                <c:formatCode>General</c:formatCode>
                <c:ptCount val="17"/>
                <c:pt idx="0">
                  <c:v>2</c:v>
                </c:pt>
                <c:pt idx="1">
                  <c:v>110</c:v>
                </c:pt>
                <c:pt idx="2">
                  <c:v>307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  <c:pt idx="6">
                  <c:v>125</c:v>
                </c:pt>
                <c:pt idx="7">
                  <c:v>42</c:v>
                </c:pt>
                <c:pt idx="8">
                  <c:v>97</c:v>
                </c:pt>
                <c:pt idx="9">
                  <c:v>44</c:v>
                </c:pt>
                <c:pt idx="10">
                  <c:v>16</c:v>
                </c:pt>
                <c:pt idx="11">
                  <c:v>48</c:v>
                </c:pt>
                <c:pt idx="12">
                  <c:v>53</c:v>
                </c:pt>
                <c:pt idx="13">
                  <c:v>90</c:v>
                </c:pt>
                <c:pt idx="14">
                  <c:v>59</c:v>
                </c:pt>
                <c:pt idx="15">
                  <c:v>51</c:v>
                </c:pt>
                <c:pt idx="1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9-40D6-A1BC-C479C096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'5_space_char_TEST_0'!$A$6</c:f>
              <c:strCache>
                <c:ptCount val="1"/>
                <c:pt idx="0">
                  <c:v>Whitespace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'5_space_char_TEST_0'!$B$1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'5_space_char_TEST_0'!$A$3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('5_space_char_TEST_0'!$B$2,'5_space_char_TEST_0'!$B$9,'5_space_char_TEST_0'!$B$16,'5_space_char_TEST_0'!$B$23,'5_space_char_TEST_0'!$B$30)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('5_space_char_TEST_0'!$B$3,'5_space_char_TEST_0'!$B$10,'5_space_char_TEST_0'!$B$17,'5_space_char_TEST_0'!$B$24,'5_space_char_TEST_0'!$B$31)</c:f>
              <c:numCache>
                <c:formatCode>General</c:formatCode>
                <c:ptCount val="5"/>
                <c:pt idx="0">
                  <c:v>1346</c:v>
                </c:pt>
                <c:pt idx="1">
                  <c:v>1582</c:v>
                </c:pt>
                <c:pt idx="2">
                  <c:v>1346</c:v>
                </c:pt>
                <c:pt idx="3">
                  <c:v>1335</c:v>
                </c:pt>
                <c:pt idx="4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F-448E-A6D4-E679ADD18D02}"/>
            </c:ext>
          </c:extLst>
        </c:ser>
        <c:ser>
          <c:idx val="2"/>
          <c:order val="1"/>
          <c:tx>
            <c:strRef>
              <c:f>'5_space_char_TEST_0'!$A$4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('5_space_char_TEST_0'!$B$2,'5_space_char_TEST_0'!$B$9,'5_space_char_TEST_0'!$B$16,'5_space_char_TEST_0'!$B$23,'5_space_char_TEST_0'!$B$30)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('5_space_char_TEST_0'!$B$4,'5_space_char_TEST_0'!$B$11,'5_space_char_TEST_0'!$B$18,'5_space_char_TEST_0'!$B$25,'5_space_char_TEST_0'!$B$32)</c:f>
              <c:numCache>
                <c:formatCode>General</c:formatCode>
                <c:ptCount val="5"/>
                <c:pt idx="0">
                  <c:v>1331</c:v>
                </c:pt>
                <c:pt idx="1">
                  <c:v>1567</c:v>
                </c:pt>
                <c:pt idx="2">
                  <c:v>1331</c:v>
                </c:pt>
                <c:pt idx="3">
                  <c:v>1478</c:v>
                </c:pt>
                <c:pt idx="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F-448E-A6D4-E679ADD1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02191"/>
        <c:axId val="1002996431"/>
      </c:barChart>
      <c:lineChart>
        <c:grouping val="standard"/>
        <c:varyColors val="0"/>
        <c:ser>
          <c:idx val="0"/>
          <c:order val="2"/>
          <c:tx>
            <c:strRef>
              <c:f>'5_space_char_TEST_0'!$A$5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('5_space_char_TEST_0'!$B$2,'5_space_char_TEST_0'!$B$9,'5_space_char_TEST_0'!$B$16,'5_space_char_TEST_0'!$B$23,'5_space_char_TEST_0'!$B$30)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('5_space_char_TEST_0'!$B$5,'5_space_char_TEST_0'!$B$12,'5_space_char_TEST_0'!$B$19,'5_space_char_TEST_0'!$B$26,'5_space_char_TEST_0'!$B$33)</c:f>
              <c:numCache>
                <c:formatCode>General</c:formatCode>
                <c:ptCount val="5"/>
                <c:pt idx="0">
                  <c:v>98.89</c:v>
                </c:pt>
                <c:pt idx="1">
                  <c:v>99.05</c:v>
                </c:pt>
                <c:pt idx="2">
                  <c:v>98.89</c:v>
                </c:pt>
                <c:pt idx="3">
                  <c:v>110.71</c:v>
                </c:pt>
                <c:pt idx="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F-448E-A6D4-E679ADD1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165176"/>
        <c:axId val="918156896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'5_space_char_TEST_0'!$A$2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918156896"/>
        <c:scaling>
          <c:orientation val="minMax"/>
          <c:max val="120"/>
          <c:min val="80"/>
        </c:scaling>
        <c:delete val="0"/>
        <c:axPos val="r"/>
        <c:title>
          <c:tx>
            <c:strRef>
              <c:f>'5_space_char_TEST_0'!$A$5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65176"/>
        <c:crosses val="max"/>
        <c:crossBetween val="between"/>
      </c:valAx>
      <c:catAx>
        <c:axId val="91816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5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'5_space_char_TEST_0'!$A$5</c:f>
          <c:strCache>
            <c:ptCount val="1"/>
            <c:pt idx="0">
              <c:v>Word to Whitespace ratio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'5_space_char_TEST_0'!$A$5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('5_space_char_TEST_0'!$B$2,'5_space_char_TEST_0'!$B$9,'5_space_char_TEST_0'!$B$16,'5_space_char_TEST_0'!$B$23,'5_space_char_TEST_0'!$B$30)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('5_space_char_TEST_0'!$B$5,'5_space_char_TEST_0'!$B$12,'5_space_char_TEST_0'!$B$19,'5_space_char_TEST_0'!$B$26,'5_space_char_TEST_0'!$B$33)</c:f>
              <c:numCache>
                <c:formatCode>General</c:formatCode>
                <c:ptCount val="5"/>
                <c:pt idx="0">
                  <c:v>98.89</c:v>
                </c:pt>
                <c:pt idx="1">
                  <c:v>99.05</c:v>
                </c:pt>
                <c:pt idx="2">
                  <c:v>98.89</c:v>
                </c:pt>
                <c:pt idx="3">
                  <c:v>110.71</c:v>
                </c:pt>
                <c:pt idx="4">
                  <c:v>98.89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83-4FDF-8267-BA4CF88A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2191"/>
        <c:axId val="100299643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'5_space_char_TEST_0'!$A$2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(clean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'6_unicode_TEST_0'!$B$6:$R$6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718-B032-C5EA8401B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(hide_in_text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'6_unicode_TEST_0'!$A$13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'6_unicode_TEST_0'!$B$13:$R$13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4-4C35-8B6B-7D2EED9CF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(modify_RGB_color_ch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'6_unicode_TEST_0'!$A$20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'6_unicode_TEST_0'!$B$20:$R$20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F-4025-A03E-FBFC4ED3D1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Non-ASCII char counts per paragraph</a:t>
            </a:r>
            <a:r>
              <a:rPr lang="lv-LV" b="1"/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'6_unicode_TEST_0'!$A$27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'6_unicode_TEST_0'!$B$27:$R$27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B-4419-913F-FC6F0F8AE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Non-ASCII char counts per paragraph</a:t>
            </a:r>
            <a:r>
              <a:rPr lang="lv-LV" b="1"/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'6_unicode_TEST_0'!$A$34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'6_unicode_TEST_0'!$B$34:$R$34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5-46EE-AA47-67217F19C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'6_unicode_TEST_0'!$A$6</c:f>
          <c:strCache>
            <c:ptCount val="1"/>
            <c:pt idx="0">
              <c:v>Non-ASCII counts per paragraph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'6_unicode_TEST_0'!$B$2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'6_unicode_TEST_0'!$B$6:$R$6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8-463F-900C-069F64CBB0ED}"/>
            </c:ext>
          </c:extLst>
        </c:ser>
        <c:ser>
          <c:idx val="3"/>
          <c:order val="1"/>
          <c:tx>
            <c:strRef>
              <c:f>'6_unicode_TEST_0'!$B$9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'6_unicode_TEST_0'!$B$13:$R$13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8-463F-900C-069F64CBB0ED}"/>
            </c:ext>
          </c:extLst>
        </c:ser>
        <c:ser>
          <c:idx val="4"/>
          <c:order val="2"/>
          <c:tx>
            <c:strRef>
              <c:f>'6_unicode_TEST_0'!$B$16</c:f>
              <c:strCache>
                <c:ptCount val="1"/>
                <c:pt idx="0">
                  <c:v>modify_RGB_color_ch</c:v>
                </c:pt>
              </c:strCache>
            </c:strRef>
          </c:tx>
          <c:marker>
            <c:symbol val="none"/>
          </c:marker>
          <c:val>
            <c:numRef>
              <c:f>'6_unicode_TEST_0'!$B$20:$R$20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8-463F-900C-069F64CBB0ED}"/>
            </c:ext>
          </c:extLst>
        </c:ser>
        <c:ser>
          <c:idx val="5"/>
          <c:order val="3"/>
          <c:tx>
            <c:strRef>
              <c:f>'6_unicode_TEST_0'!$B$23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'6_unicode_TEST_0'!$B$27:$R$27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08-463F-900C-069F64CBB0ED}"/>
            </c:ext>
          </c:extLst>
        </c:ser>
        <c:ser>
          <c:idx val="1"/>
          <c:order val="4"/>
          <c:tx>
            <c:strRef>
              <c:f>'6_unicode_TEST_0'!$B$30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'6_unicode_TEST_0'!$B$34:$R$34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08-463F-900C-069F64CBB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81592"/>
        <c:axId val="702681952"/>
      </c:line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'6_unicode_TEST_0'!$A$6</c:f>
          <c:strCache>
            <c:ptCount val="1"/>
            <c:pt idx="0">
              <c:v>Non-ASCII counts per paragraph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'6_unicode_TEST_0'!$B$2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'6_unicode_TEST_0'!$B$6:$R$6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6-491F-B0E8-D9144804661C}"/>
            </c:ext>
          </c:extLst>
        </c:ser>
        <c:ser>
          <c:idx val="3"/>
          <c:order val="1"/>
          <c:tx>
            <c:strRef>
              <c:f>'6_unicode_TEST_0'!$B$9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invertIfNegative val="0"/>
          <c:val>
            <c:numRef>
              <c:f>'6_unicode_TEST_0'!$B$13:$R$13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6-491F-B0E8-D9144804661C}"/>
            </c:ext>
          </c:extLst>
        </c:ser>
        <c:ser>
          <c:idx val="4"/>
          <c:order val="2"/>
          <c:tx>
            <c:strRef>
              <c:f>'6_unicode_TEST_0'!$B$16</c:f>
              <c:strCache>
                <c:ptCount val="1"/>
                <c:pt idx="0">
                  <c:v>modify_RGB_color_ch</c:v>
                </c:pt>
              </c:strCache>
            </c:strRef>
          </c:tx>
          <c:invertIfNegative val="0"/>
          <c:val>
            <c:numRef>
              <c:f>'6_unicode_TEST_0'!$B$20:$R$20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E6-491F-B0E8-D9144804661C}"/>
            </c:ext>
          </c:extLst>
        </c:ser>
        <c:ser>
          <c:idx val="5"/>
          <c:order val="3"/>
          <c:tx>
            <c:strRef>
              <c:f>'6_unicode_TEST_0'!$B$23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invertIfNegative val="0"/>
          <c:val>
            <c:numRef>
              <c:f>'6_unicode_TEST_0'!$B$27:$R$27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E6-491F-B0E8-D9144804661C}"/>
            </c:ext>
          </c:extLst>
        </c:ser>
        <c:ser>
          <c:idx val="1"/>
          <c:order val="4"/>
          <c:tx>
            <c:strRef>
              <c:f>'6_unicode_TEST_0'!$B$30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'6_unicode_TEST_0'!$B$34:$R$34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E6-491F-B0E8-D91448046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'6_unicode_TEST_0'!$A$6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'6_unicode_TEST_0'!$B$1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'6_unicode_TEST_0'!$A$3</c:f>
              <c:strCache>
                <c:ptCount val="1"/>
                <c:pt idx="0">
                  <c:v>Total char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('6_unicode_TEST_0'!$B$2,'6_unicode_TEST_0'!$B$9,'6_unicode_TEST_0'!$B$16,'6_unicode_TEST_0'!$B$23,'6_unicode_TEST_0'!$B$30)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('6_unicode_TEST_0'!$B$3,'6_unicode_TEST_0'!$B$10,'6_unicode_TEST_0'!$B$17,'6_unicode_TEST_0'!$B$24,'6_unicode_TEST_0'!$B$31)</c:f>
              <c:numCache>
                <c:formatCode>General</c:formatCode>
                <c:ptCount val="5"/>
                <c:pt idx="0">
                  <c:v>7875</c:v>
                </c:pt>
                <c:pt idx="1">
                  <c:v>8347</c:v>
                </c:pt>
                <c:pt idx="2">
                  <c:v>7875</c:v>
                </c:pt>
                <c:pt idx="3">
                  <c:v>8219</c:v>
                </c:pt>
                <c:pt idx="4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9-48FA-8B75-15207E4BD484}"/>
            </c:ext>
          </c:extLst>
        </c:ser>
        <c:ser>
          <c:idx val="2"/>
          <c:order val="1"/>
          <c:tx>
            <c:strRef>
              <c:f>'6_unicode_TEST_0'!$A$4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('6_unicode_TEST_0'!$B$2,'6_unicode_TEST_0'!$B$9,'6_unicode_TEST_0'!$B$16,'6_unicode_TEST_0'!$B$23,'6_unicode_TEST_0'!$B$30)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('6_unicode_TEST_0'!$B$4,'6_unicode_TEST_0'!$B$11,'6_unicode_TEST_0'!$B$18,'6_unicode_TEST_0'!$B$25,'6_unicode_TEST_0'!$B$32)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516</c:v>
                </c:pt>
                <c:pt idx="4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9-48FA-8B75-15207E4BD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02191"/>
        <c:axId val="1002996431"/>
      </c:barChart>
      <c:lineChart>
        <c:grouping val="standard"/>
        <c:varyColors val="0"/>
        <c:ser>
          <c:idx val="0"/>
          <c:order val="2"/>
          <c:tx>
            <c:strRef>
              <c:f>'6_unicode_TEST_0'!$A$5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('6_unicode_TEST_0'!$B$2,'6_unicode_TEST_0'!$B$9,'6_unicode_TEST_0'!$B$16,'6_unicode_TEST_0'!$B$23,'6_unicode_TEST_0'!$B$30)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('6_unicode_TEST_0'!$B$5,'6_unicode_TEST_0'!$B$12,'6_unicode_TEST_0'!$B$19,'6_unicode_TEST_0'!$B$26,'6_unicode_TEST_0'!$B$33)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</c:v>
                </c:pt>
                <c:pt idx="4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B9-48FA-8B75-15207E4BD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165176"/>
        <c:axId val="918156896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'6_unicode_TEST_0'!$A$2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918156896"/>
        <c:scaling>
          <c:orientation val="minMax"/>
          <c:max val="30"/>
          <c:min val="0"/>
        </c:scaling>
        <c:delete val="0"/>
        <c:axPos val="r"/>
        <c:title>
          <c:tx>
            <c:strRef>
              <c:f>'6_unicode_TEST_0'!$A$5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65176"/>
        <c:crosses val="max"/>
        <c:crossBetween val="between"/>
      </c:valAx>
      <c:catAx>
        <c:axId val="91816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5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'6_unicode_TEST_0'!$A$5</c:f>
          <c:strCache>
            <c:ptCount val="1"/>
            <c:pt idx="0">
              <c:v>Total char to non-ASCII char ratio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'6_unicode_TEST_0'!$A$5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('6_unicode_TEST_0'!$B$2,'6_unicode_TEST_0'!$B$9,'6_unicode_TEST_0'!$B$16,'6_unicode_TEST_0'!$B$23,'6_unicode_TEST_0'!$B$30)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('6_unicode_TEST_0'!$B$5,'6_unicode_TEST_0'!$B$12,'6_unicode_TEST_0'!$B$19,'6_unicode_TEST_0'!$B$26,'6_unicode_TEST_0'!$B$33)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</c:v>
                </c:pt>
                <c:pt idx="4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E1-46BD-9715-6BA87A5CE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2191"/>
        <c:axId val="100299643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'6_unicode_TEST_0'!$A$2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(clean)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all_data_set_unified_file!$H$2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all_data_set_unified_file!$H$4:$H$24</c:f>
              <c:numCache>
                <c:formatCode>General</c:formatCode>
                <c:ptCount val="21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7</c:v>
                </c:pt>
                <c:pt idx="15">
                  <c:v>16</c:v>
                </c:pt>
                <c:pt idx="16">
                  <c:v>113</c:v>
                </c:pt>
                <c:pt idx="17">
                  <c:v>24</c:v>
                </c:pt>
                <c:pt idx="18">
                  <c:v>733</c:v>
                </c:pt>
                <c:pt idx="19">
                  <c:v>1860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DE-4F1C-8171-66FD874812ED}"/>
            </c:ext>
          </c:extLst>
        </c:ser>
        <c:ser>
          <c:idx val="1"/>
          <c:order val="1"/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DE-4F1C-8171-66FD874812ED}"/>
            </c:ext>
          </c:extLst>
        </c:ser>
        <c:ser>
          <c:idx val="0"/>
          <c:order val="3"/>
          <c:tx>
            <c:strRef>
              <c:f>all_data_set_unified_file!$K$2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all_data_set_unified_file!$K$4:$K$24</c:f>
              <c:numCache>
                <c:formatCode>General</c:formatCode>
                <c:ptCount val="21"/>
                <c:pt idx="0">
                  <c:v>219</c:v>
                </c:pt>
                <c:pt idx="1">
                  <c:v>11</c:v>
                </c:pt>
                <c:pt idx="2">
                  <c:v>132</c:v>
                </c:pt>
                <c:pt idx="3">
                  <c:v>652</c:v>
                </c:pt>
                <c:pt idx="4">
                  <c:v>64</c:v>
                </c:pt>
                <c:pt idx="5">
                  <c:v>90</c:v>
                </c:pt>
                <c:pt idx="6">
                  <c:v>163</c:v>
                </c:pt>
                <c:pt idx="7">
                  <c:v>113</c:v>
                </c:pt>
                <c:pt idx="8">
                  <c:v>1734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0</c:v>
                </c:pt>
                <c:pt idx="15">
                  <c:v>140</c:v>
                </c:pt>
                <c:pt idx="16">
                  <c:v>176</c:v>
                </c:pt>
                <c:pt idx="17">
                  <c:v>0</c:v>
                </c:pt>
                <c:pt idx="18">
                  <c:v>0</c:v>
                </c:pt>
                <c:pt idx="19">
                  <c:v>49843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E-4F1C-8171-66FD87481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3"/>
          <c:order val="2"/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marker>
            <c:symbol val="none"/>
          </c:marker>
          <c:val>
            <c:numRef>
              <c:f>all_data_set_unified_file!$J$4:$J$24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0-4805-8488-F514F709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789920"/>
        <c:axId val="104478884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all_data_set_unified_file!$H$1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1044788840"/>
        <c:scaling>
          <c:orientation val="minMax"/>
          <c:max val="4000"/>
          <c:min val="100"/>
        </c:scaling>
        <c:delete val="0"/>
        <c:axPos val="r"/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044789920"/>
        <c:crosses val="max"/>
        <c:crossBetween val="between"/>
      </c:valAx>
      <c:catAx>
        <c:axId val="1044789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04478884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(hide in text)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all_data_set_unified_file!$H$2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all_data_set_unified_file!$H$26:$H$41</c:f>
              <c:numCache>
                <c:formatCode>General</c:formatCode>
                <c:ptCount val="16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1860</c:v>
                </c:pt>
                <c:pt idx="1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9-4339-AD19-ECADDA850618}"/>
            </c:ext>
          </c:extLst>
        </c:ser>
        <c:ser>
          <c:idx val="1"/>
          <c:order val="1"/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9-4339-AD19-ECADDA850618}"/>
            </c:ext>
          </c:extLst>
        </c:ser>
        <c:ser>
          <c:idx val="0"/>
          <c:order val="3"/>
          <c:tx>
            <c:strRef>
              <c:f>all_data_set_unified_file!$K$2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all_data_set_unified_file!$K$26:$K$41</c:f>
              <c:numCache>
                <c:formatCode>General</c:formatCode>
                <c:ptCount val="16"/>
                <c:pt idx="0">
                  <c:v>1163</c:v>
                </c:pt>
                <c:pt idx="1">
                  <c:v>1061</c:v>
                </c:pt>
                <c:pt idx="2">
                  <c:v>1589</c:v>
                </c:pt>
                <c:pt idx="3">
                  <c:v>857</c:v>
                </c:pt>
                <c:pt idx="4">
                  <c:v>1029</c:v>
                </c:pt>
                <c:pt idx="5">
                  <c:v>1098</c:v>
                </c:pt>
                <c:pt idx="6">
                  <c:v>1057</c:v>
                </c:pt>
                <c:pt idx="7">
                  <c:v>2677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1072</c:v>
                </c:pt>
                <c:pt idx="13">
                  <c:v>1103</c:v>
                </c:pt>
                <c:pt idx="14">
                  <c:v>50787</c:v>
                </c:pt>
                <c:pt idx="15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9-4339-AD19-ECADDA850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3"/>
          <c:order val="2"/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marker>
            <c:symbol val="none"/>
          </c:marker>
          <c:val>
            <c:numRef>
              <c:f>all_data_set_unified_file!$J$26:$J$41</c:f>
              <c:numCache>
                <c:formatCode>General</c:formatCode>
                <c:ptCount val="16"/>
                <c:pt idx="0">
                  <c:v>453.56</c:v>
                </c:pt>
                <c:pt idx="1">
                  <c:v>576.77</c:v>
                </c:pt>
                <c:pt idx="2">
                  <c:v>228.26</c:v>
                </c:pt>
                <c:pt idx="3">
                  <c:v>1280</c:v>
                </c:pt>
                <c:pt idx="4">
                  <c:v>1104.26</c:v>
                </c:pt>
                <c:pt idx="5">
                  <c:v>639.42999999999995</c:v>
                </c:pt>
                <c:pt idx="6">
                  <c:v>675.61</c:v>
                </c:pt>
                <c:pt idx="7">
                  <c:v>149.61000000000001</c:v>
                </c:pt>
                <c:pt idx="8">
                  <c:v>133.15</c:v>
                </c:pt>
                <c:pt idx="9">
                  <c:v>102.64</c:v>
                </c:pt>
                <c:pt idx="10">
                  <c:v>132.78</c:v>
                </c:pt>
                <c:pt idx="11">
                  <c:v>101.66</c:v>
                </c:pt>
                <c:pt idx="12">
                  <c:v>942.86</c:v>
                </c:pt>
                <c:pt idx="13">
                  <c:v>543.19000000000005</c:v>
                </c:pt>
                <c:pt idx="14">
                  <c:v>101.95</c:v>
                </c:pt>
                <c:pt idx="15">
                  <c:v>3596.3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8-4EEE-B97C-6AA968CF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780560"/>
        <c:axId val="104477480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all_data_set_unified_file!$H$1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1044774800"/>
        <c:scaling>
          <c:orientation val="minMax"/>
          <c:max val="4000"/>
          <c:min val="100"/>
        </c:scaling>
        <c:delete val="0"/>
        <c:axPos val="r"/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044780560"/>
        <c:crosses val="max"/>
        <c:crossBetween val="between"/>
      </c:valAx>
      <c:catAx>
        <c:axId val="1044780560"/>
        <c:scaling>
          <c:orientation val="minMax"/>
        </c:scaling>
        <c:delete val="1"/>
        <c:axPos val="b"/>
        <c:majorTickMark val="out"/>
        <c:minorTickMark val="none"/>
        <c:tickLblPos val="nextTo"/>
        <c:crossAx val="104477480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(modify RGB color channel)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all_data_set_unified_file!$H$2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all_data_set_unified_file!$H$43:$H$60</c:f>
              <c:numCache>
                <c:formatCode>General</c:formatCode>
                <c:ptCount val="18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16</c:v>
                </c:pt>
                <c:pt idx="15">
                  <c:v>113</c:v>
                </c:pt>
                <c:pt idx="16">
                  <c:v>1860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B-4DD0-BB8F-80C05C50C32E}"/>
            </c:ext>
          </c:extLst>
        </c:ser>
        <c:ser>
          <c:idx val="1"/>
          <c:order val="1"/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B-4DD0-BB8F-80C05C50C32E}"/>
            </c:ext>
          </c:extLst>
        </c:ser>
        <c:ser>
          <c:idx val="0"/>
          <c:order val="3"/>
          <c:tx>
            <c:strRef>
              <c:f>all_data_set_unified_file!$K$2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all_data_set_unified_file!$K$43:$K$60</c:f>
              <c:numCache>
                <c:formatCode>General</c:formatCode>
                <c:ptCount val="18"/>
                <c:pt idx="0">
                  <c:v>423</c:v>
                </c:pt>
                <c:pt idx="1">
                  <c:v>224</c:v>
                </c:pt>
                <c:pt idx="2">
                  <c:v>341</c:v>
                </c:pt>
                <c:pt idx="3">
                  <c:v>857</c:v>
                </c:pt>
                <c:pt idx="4">
                  <c:v>272</c:v>
                </c:pt>
                <c:pt idx="5">
                  <c:v>296</c:v>
                </c:pt>
                <c:pt idx="6">
                  <c:v>368</c:v>
                </c:pt>
                <c:pt idx="7">
                  <c:v>316</c:v>
                </c:pt>
                <c:pt idx="8">
                  <c:v>1939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341</c:v>
                </c:pt>
                <c:pt idx="15">
                  <c:v>382</c:v>
                </c:pt>
                <c:pt idx="16">
                  <c:v>50029</c:v>
                </c:pt>
                <c:pt idx="17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3B-4DD0-BB8F-80C05C50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3"/>
          <c:order val="2"/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marker>
            <c:symbol val="none"/>
          </c:marker>
          <c:val>
            <c:numRef>
              <c:f>all_data_set_unified_file!$J$43:$J$60</c:f>
              <c:numCache>
                <c:formatCode>General</c:formatCode>
                <c:ptCount val="18"/>
                <c:pt idx="0">
                  <c:v>176.4</c:v>
                </c:pt>
                <c:pt idx="1">
                  <c:v>2036.36</c:v>
                </c:pt>
                <c:pt idx="2">
                  <c:v>205.56</c:v>
                </c:pt>
                <c:pt idx="3">
                  <c:v>127.85</c:v>
                </c:pt>
                <c:pt idx="4">
                  <c:v>360</c:v>
                </c:pt>
                <c:pt idx="5">
                  <c:v>319.14999999999998</c:v>
                </c:pt>
                <c:pt idx="6">
                  <c:v>217.14</c:v>
                </c:pt>
                <c:pt idx="7">
                  <c:v>223.78</c:v>
                </c:pt>
                <c:pt idx="8">
                  <c:v>110.77</c:v>
                </c:pt>
                <c:pt idx="9">
                  <c:v>106.36</c:v>
                </c:pt>
                <c:pt idx="10">
                  <c:v>100.49</c:v>
                </c:pt>
                <c:pt idx="11">
                  <c:v>106.25</c:v>
                </c:pt>
                <c:pt idx="12">
                  <c:v>100.31</c:v>
                </c:pt>
                <c:pt idx="13">
                  <c:v>2400</c:v>
                </c:pt>
                <c:pt idx="14">
                  <c:v>279.45999999999998</c:v>
                </c:pt>
                <c:pt idx="15">
                  <c:v>196.71</c:v>
                </c:pt>
                <c:pt idx="16">
                  <c:v>100.38</c:v>
                </c:pt>
                <c:pt idx="17">
                  <c:v>874.07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9-44BC-902D-CFD456FA1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032720"/>
        <c:axId val="84002516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all_data_set_unified_file!$H$1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840025160"/>
        <c:scaling>
          <c:orientation val="minMax"/>
          <c:max val="4000"/>
          <c:min val="100"/>
        </c:scaling>
        <c:delete val="0"/>
        <c:axPos val="r"/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840032720"/>
        <c:crosses val="max"/>
        <c:crossBetween val="between"/>
      </c:valAx>
      <c:catAx>
        <c:axId val="840032720"/>
        <c:scaling>
          <c:orientation val="minMax"/>
        </c:scaling>
        <c:delete val="1"/>
        <c:axPos val="b"/>
        <c:majorTickMark val="out"/>
        <c:minorTickMark val="none"/>
        <c:tickLblPos val="nextTo"/>
        <c:crossAx val="84002516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(unicode homoglyphs)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all_data_set_unified_file!$H$2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all_data_set_unified_file!$H$78:$H$92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77</c:v>
                </c:pt>
                <c:pt idx="4">
                  <c:v>55</c:v>
                </c:pt>
                <c:pt idx="5">
                  <c:v>37</c:v>
                </c:pt>
                <c:pt idx="6">
                  <c:v>726</c:v>
                </c:pt>
                <c:pt idx="7">
                  <c:v>178</c:v>
                </c:pt>
                <c:pt idx="8">
                  <c:v>2100</c:v>
                </c:pt>
                <c:pt idx="9">
                  <c:v>180</c:v>
                </c:pt>
                <c:pt idx="10">
                  <c:v>2992</c:v>
                </c:pt>
                <c:pt idx="11">
                  <c:v>16</c:v>
                </c:pt>
                <c:pt idx="12">
                  <c:v>113</c:v>
                </c:pt>
                <c:pt idx="13">
                  <c:v>1860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B-4F02-A7D9-8211D41BFC0A}"/>
            </c:ext>
          </c:extLst>
        </c:ser>
        <c:ser>
          <c:idx val="1"/>
          <c:order val="1"/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B-4F02-A7D9-8211D41BFC0A}"/>
            </c:ext>
          </c:extLst>
        </c:ser>
        <c:ser>
          <c:idx val="0"/>
          <c:order val="3"/>
          <c:tx>
            <c:strRef>
              <c:f>all_data_set_unified_file!$K$2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all_data_set_unified_file!$K$78:$K$92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90</c:v>
                </c:pt>
                <c:pt idx="4">
                  <c:v>163</c:v>
                </c:pt>
                <c:pt idx="5">
                  <c:v>113</c:v>
                </c:pt>
                <c:pt idx="6">
                  <c:v>1734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140</c:v>
                </c:pt>
                <c:pt idx="12">
                  <c:v>176</c:v>
                </c:pt>
                <c:pt idx="13">
                  <c:v>49843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B-4F02-A7D9-8211D41B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3"/>
          <c:order val="2"/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marker>
            <c:symbol val="none"/>
          </c:marker>
          <c:val>
            <c:numRef>
              <c:f>all_data_set_unified_file!$J$78:$J$92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9-443D-92E0-B53EB714D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763760"/>
        <c:axId val="84003668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all_data_set_unified_file!$H$1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840036680"/>
        <c:scaling>
          <c:orientation val="minMax"/>
          <c:max val="4000"/>
          <c:min val="100"/>
        </c:scaling>
        <c:delete val="0"/>
        <c:axPos val="r"/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138763760"/>
        <c:crosses val="max"/>
        <c:crossBetween val="between"/>
      </c:valAx>
      <c:catAx>
        <c:axId val="1138763760"/>
        <c:scaling>
          <c:orientation val="minMax"/>
        </c:scaling>
        <c:delete val="1"/>
        <c:axPos val="b"/>
        <c:majorTickMark val="out"/>
        <c:minorTickMark val="none"/>
        <c:tickLblPos val="nextTo"/>
        <c:crossAx val="84003668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all_data_set_unified_file!$Q$3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all_data_set_unified_file!$Q$4:$Q$24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1.83</c:v>
                </c:pt>
                <c:pt idx="8">
                  <c:v>0.95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4-46D2-B229-3488D6E9DB7C}"/>
            </c:ext>
          </c:extLst>
        </c:ser>
        <c:ser>
          <c:idx val="1"/>
          <c:order val="1"/>
          <c:tx>
            <c:strRef>
              <c:f>all_data_set_unified_file!$R$3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all_data_set_unified_file!$R$4:$R$24</c:f>
              <c:numCache>
                <c:formatCode>General</c:formatCode>
                <c:ptCount val="21"/>
                <c:pt idx="0">
                  <c:v>6.74</c:v>
                </c:pt>
                <c:pt idx="1">
                  <c:v>9.09</c:v>
                </c:pt>
                <c:pt idx="2">
                  <c:v>0</c:v>
                </c:pt>
                <c:pt idx="3">
                  <c:v>80.569999999999993</c:v>
                </c:pt>
                <c:pt idx="4">
                  <c:v>80</c:v>
                </c:pt>
                <c:pt idx="5">
                  <c:v>0</c:v>
                </c:pt>
                <c:pt idx="6">
                  <c:v>86.86</c:v>
                </c:pt>
                <c:pt idx="7">
                  <c:v>11.59</c:v>
                </c:pt>
                <c:pt idx="8">
                  <c:v>1.1599999999999999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33.33</c:v>
                </c:pt>
                <c:pt idx="14">
                  <c:v>0</c:v>
                </c:pt>
                <c:pt idx="15">
                  <c:v>0</c:v>
                </c:pt>
                <c:pt idx="16">
                  <c:v>1.88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4-46D2-B229-3488D6E9DB7C}"/>
            </c:ext>
          </c:extLst>
        </c:ser>
        <c:ser>
          <c:idx val="2"/>
          <c:order val="2"/>
          <c:tx>
            <c:strRef>
              <c:f>all_data_set_unified_file!$S$3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all_data_set_unified_file!$S$4:$S$24</c:f>
              <c:numCache>
                <c:formatCode>General</c:formatCode>
                <c:ptCount val="21"/>
                <c:pt idx="0">
                  <c:v>86.89</c:v>
                </c:pt>
                <c:pt idx="1">
                  <c:v>0</c:v>
                </c:pt>
                <c:pt idx="2">
                  <c:v>33.33</c:v>
                </c:pt>
                <c:pt idx="3">
                  <c:v>15.22</c:v>
                </c:pt>
                <c:pt idx="4">
                  <c:v>20</c:v>
                </c:pt>
                <c:pt idx="5">
                  <c:v>85.11</c:v>
                </c:pt>
                <c:pt idx="6">
                  <c:v>12</c:v>
                </c:pt>
                <c:pt idx="7">
                  <c:v>86.59</c:v>
                </c:pt>
                <c:pt idx="8">
                  <c:v>79.239999999999995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100</c:v>
                </c:pt>
                <c:pt idx="16">
                  <c:v>18.309999999999999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4-46D2-B229-3488D6E9DB7C}"/>
            </c:ext>
          </c:extLst>
        </c:ser>
        <c:ser>
          <c:idx val="3"/>
          <c:order val="3"/>
          <c:tx>
            <c:strRef>
              <c:f>all_data_set_unified_file!$T$3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all_data_set_unified_file!$T$4:$T$24</c:f>
              <c:numCache>
                <c:formatCode>General</c:formatCode>
                <c:ptCount val="21"/>
                <c:pt idx="0">
                  <c:v>6.37</c:v>
                </c:pt>
                <c:pt idx="1">
                  <c:v>90.91</c:v>
                </c:pt>
                <c:pt idx="2">
                  <c:v>66.67</c:v>
                </c:pt>
                <c:pt idx="3">
                  <c:v>4.21</c:v>
                </c:pt>
                <c:pt idx="4">
                  <c:v>0</c:v>
                </c:pt>
                <c:pt idx="5">
                  <c:v>14.89</c:v>
                </c:pt>
                <c:pt idx="6">
                  <c:v>1.1399999999999999</c:v>
                </c:pt>
                <c:pt idx="7">
                  <c:v>0</c:v>
                </c:pt>
                <c:pt idx="8">
                  <c:v>18.649999999999999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66.67</c:v>
                </c:pt>
                <c:pt idx="14">
                  <c:v>0</c:v>
                </c:pt>
                <c:pt idx="15">
                  <c:v>0</c:v>
                </c:pt>
                <c:pt idx="16">
                  <c:v>79.81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4-46D2-B229-3488D6E9DB7C}"/>
            </c:ext>
          </c:extLst>
        </c:ser>
        <c:ser>
          <c:idx val="4"/>
          <c:order val="4"/>
          <c:tx>
            <c:strRef>
              <c:f>all_data_set_unified_file!$U$3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4-46D2-B229-3488D6E9D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(hide in text)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all_data_set_unified_file!$Q$3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all_data_set_unified_file!$Q$26:$Q$41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5A6-A378-BEAC48FD0B59}"/>
            </c:ext>
          </c:extLst>
        </c:ser>
        <c:ser>
          <c:idx val="1"/>
          <c:order val="1"/>
          <c:tx>
            <c:strRef>
              <c:f>all_data_set_unified_file!$R$3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all_data_set_unified_file!$R$26:$R$41</c:f>
              <c:numCache>
                <c:formatCode>General</c:formatCode>
                <c:ptCount val="16"/>
                <c:pt idx="0">
                  <c:v>1.49</c:v>
                </c:pt>
                <c:pt idx="1">
                  <c:v>0</c:v>
                </c:pt>
                <c:pt idx="2">
                  <c:v>77.44</c:v>
                </c:pt>
                <c:pt idx="3">
                  <c:v>75.39</c:v>
                </c:pt>
                <c:pt idx="4">
                  <c:v>0</c:v>
                </c:pt>
                <c:pt idx="5">
                  <c:v>76.59</c:v>
                </c:pt>
                <c:pt idx="6">
                  <c:v>4.42</c:v>
                </c:pt>
                <c:pt idx="7">
                  <c:v>0.77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1-45A6-A378-BEAC48FD0B59}"/>
            </c:ext>
          </c:extLst>
        </c:ser>
        <c:ser>
          <c:idx val="2"/>
          <c:order val="2"/>
          <c:tx>
            <c:strRef>
              <c:f>all_data_set_unified_file!$S$3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all_data_set_unified_file!$S$26:$S$41</c:f>
              <c:numCache>
                <c:formatCode>General</c:formatCode>
                <c:ptCount val="16"/>
                <c:pt idx="0">
                  <c:v>71.430000000000007</c:v>
                </c:pt>
                <c:pt idx="1">
                  <c:v>5.78</c:v>
                </c:pt>
                <c:pt idx="2">
                  <c:v>6.67</c:v>
                </c:pt>
                <c:pt idx="3">
                  <c:v>1.56</c:v>
                </c:pt>
                <c:pt idx="4">
                  <c:v>66.38</c:v>
                </c:pt>
                <c:pt idx="5">
                  <c:v>2.14</c:v>
                </c:pt>
                <c:pt idx="6">
                  <c:v>74.010000000000005</c:v>
                </c:pt>
                <c:pt idx="7">
                  <c:v>76.680000000000007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3.37</c:v>
                </c:pt>
                <c:pt idx="14">
                  <c:v>99.52</c:v>
                </c:pt>
                <c:pt idx="15">
                  <c:v>75.489999999999995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1-45A6-A378-BEAC48FD0B59}"/>
            </c:ext>
          </c:extLst>
        </c:ser>
        <c:ser>
          <c:idx val="3"/>
          <c:order val="3"/>
          <c:tx>
            <c:strRef>
              <c:f>all_data_set_unified_file!$T$3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all_data_set_unified_file!$T$26:$T$41</c:f>
              <c:numCache>
                <c:formatCode>General</c:formatCode>
                <c:ptCount val="16"/>
                <c:pt idx="0">
                  <c:v>7.6</c:v>
                </c:pt>
                <c:pt idx="1">
                  <c:v>73.56</c:v>
                </c:pt>
                <c:pt idx="2">
                  <c:v>1.85</c:v>
                </c:pt>
                <c:pt idx="3">
                  <c:v>0</c:v>
                </c:pt>
                <c:pt idx="4">
                  <c:v>10.89</c:v>
                </c:pt>
                <c:pt idx="5">
                  <c:v>0.18</c:v>
                </c:pt>
                <c:pt idx="6">
                  <c:v>0</c:v>
                </c:pt>
                <c:pt idx="7">
                  <c:v>13.63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75.89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1-45A6-A378-BEAC48FD0B59}"/>
            </c:ext>
          </c:extLst>
        </c:ser>
        <c:ser>
          <c:idx val="4"/>
          <c:order val="4"/>
          <c:tx>
            <c:strRef>
              <c:f>all_data_set_unified_file!$U$3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81-45A6-A378-BEAC48FD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(modify RGB color channels)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all_data_set_unified_file!$Q$3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all_data_set_unified_file!$Q$43:$Q$60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0.82</c:v>
                </c:pt>
                <c:pt idx="8">
                  <c:v>0.85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E-4D42-B357-F785DAFF2C15}"/>
            </c:ext>
          </c:extLst>
        </c:ser>
        <c:ser>
          <c:idx val="1"/>
          <c:order val="1"/>
          <c:tx>
            <c:strRef>
              <c:f>all_data_set_unified_file!$R$3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all_data_set_unified_file!$R$43:$R$60</c:f>
              <c:numCache>
                <c:formatCode>General</c:formatCode>
                <c:ptCount val="18"/>
                <c:pt idx="0">
                  <c:v>3.82</c:v>
                </c:pt>
                <c:pt idx="1">
                  <c:v>0.45</c:v>
                </c:pt>
                <c:pt idx="2">
                  <c:v>0</c:v>
                </c:pt>
                <c:pt idx="3">
                  <c:v>84.8</c:v>
                </c:pt>
                <c:pt idx="4">
                  <c:v>94.44</c:v>
                </c:pt>
                <c:pt idx="5">
                  <c:v>0</c:v>
                </c:pt>
                <c:pt idx="6">
                  <c:v>93.68</c:v>
                </c:pt>
                <c:pt idx="7">
                  <c:v>5.18</c:v>
                </c:pt>
                <c:pt idx="8">
                  <c:v>1.04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74.069999999999993</c:v>
                </c:pt>
                <c:pt idx="14">
                  <c:v>0</c:v>
                </c:pt>
                <c:pt idx="15">
                  <c:v>0.95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E-4D42-B357-F785DAFF2C15}"/>
            </c:ext>
          </c:extLst>
        </c:ser>
        <c:ser>
          <c:idx val="2"/>
          <c:order val="2"/>
          <c:tx>
            <c:strRef>
              <c:f>all_data_set_unified_file!$S$3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all_data_set_unified_file!$S$43:$S$60</c:f>
              <c:numCache>
                <c:formatCode>General</c:formatCode>
                <c:ptCount val="18"/>
                <c:pt idx="0">
                  <c:v>92.57</c:v>
                </c:pt>
                <c:pt idx="1">
                  <c:v>0</c:v>
                </c:pt>
                <c:pt idx="2">
                  <c:v>16.22</c:v>
                </c:pt>
                <c:pt idx="3">
                  <c:v>11.9</c:v>
                </c:pt>
                <c:pt idx="4">
                  <c:v>5.56</c:v>
                </c:pt>
                <c:pt idx="5">
                  <c:v>95.33</c:v>
                </c:pt>
                <c:pt idx="6">
                  <c:v>5.79</c:v>
                </c:pt>
                <c:pt idx="7">
                  <c:v>94.01</c:v>
                </c:pt>
                <c:pt idx="8">
                  <c:v>81.260000000000005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9.31</c:v>
                </c:pt>
                <c:pt idx="16">
                  <c:v>100</c:v>
                </c:pt>
                <c:pt idx="17">
                  <c:v>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E-4D42-B357-F785DAFF2C15}"/>
            </c:ext>
          </c:extLst>
        </c:ser>
        <c:ser>
          <c:idx val="3"/>
          <c:order val="3"/>
          <c:tx>
            <c:strRef>
              <c:f>all_data_set_unified_file!$T$3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all_data_set_unified_file!$T$43:$T$60</c:f>
              <c:numCache>
                <c:formatCode>General</c:formatCode>
                <c:ptCount val="18"/>
                <c:pt idx="0">
                  <c:v>3.61</c:v>
                </c:pt>
                <c:pt idx="1">
                  <c:v>99.55</c:v>
                </c:pt>
                <c:pt idx="2">
                  <c:v>83.78</c:v>
                </c:pt>
                <c:pt idx="3">
                  <c:v>3.29</c:v>
                </c:pt>
                <c:pt idx="4">
                  <c:v>0</c:v>
                </c:pt>
                <c:pt idx="5">
                  <c:v>4.67</c:v>
                </c:pt>
                <c:pt idx="6">
                  <c:v>0.53</c:v>
                </c:pt>
                <c:pt idx="7">
                  <c:v>0</c:v>
                </c:pt>
                <c:pt idx="8">
                  <c:v>16.84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25.93</c:v>
                </c:pt>
                <c:pt idx="14">
                  <c:v>0</c:v>
                </c:pt>
                <c:pt idx="15">
                  <c:v>89.74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E-4D42-B357-F785DAFF2C15}"/>
            </c:ext>
          </c:extLst>
        </c:ser>
        <c:ser>
          <c:idx val="4"/>
          <c:order val="4"/>
          <c:tx>
            <c:strRef>
              <c:f>all_data_set_unified_file!$U$3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E-4D42-B357-F785DAFF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(unicode homoglyphs)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all_data_set_unified_file!$Q$3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all_data_set_unified_file!$Q$78:$Q$92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1.83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D-46BD-99F9-DCF12AEFB5D6}"/>
            </c:ext>
          </c:extLst>
        </c:ser>
        <c:ser>
          <c:idx val="1"/>
          <c:order val="1"/>
          <c:tx>
            <c:strRef>
              <c:f>all_data_set_unified_file!$R$3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all_data_set_unified_file!$R$78:$R$92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0</c:v>
                </c:pt>
                <c:pt idx="4">
                  <c:v>86.86</c:v>
                </c:pt>
                <c:pt idx="5">
                  <c:v>11.59</c:v>
                </c:pt>
                <c:pt idx="6">
                  <c:v>1.1599999999999999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D-46BD-99F9-DCF12AEFB5D6}"/>
            </c:ext>
          </c:extLst>
        </c:ser>
        <c:ser>
          <c:idx val="2"/>
          <c:order val="2"/>
          <c:tx>
            <c:strRef>
              <c:f>all_data_set_unified_file!$S$3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all_data_set_unified_file!$S$78:$S$92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85.11</c:v>
                </c:pt>
                <c:pt idx="4">
                  <c:v>12</c:v>
                </c:pt>
                <c:pt idx="5">
                  <c:v>86.59</c:v>
                </c:pt>
                <c:pt idx="6">
                  <c:v>79.239999999999995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18.309999999999999</c:v>
                </c:pt>
                <c:pt idx="13">
                  <c:v>100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D-46BD-99F9-DCF12AEFB5D6}"/>
            </c:ext>
          </c:extLst>
        </c:ser>
        <c:ser>
          <c:idx val="3"/>
          <c:order val="3"/>
          <c:tx>
            <c:strRef>
              <c:f>all_data_set_unified_file!$T$3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all_data_set_unified_file!$T$78:$T$92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14.89</c:v>
                </c:pt>
                <c:pt idx="4">
                  <c:v>1.1399999999999999</c:v>
                </c:pt>
                <c:pt idx="5">
                  <c:v>0</c:v>
                </c:pt>
                <c:pt idx="6">
                  <c:v>18.649999999999999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79.81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2D-46BD-99F9-DCF12AEFB5D6}"/>
            </c:ext>
          </c:extLst>
        </c:ser>
        <c:ser>
          <c:idx val="4"/>
          <c:order val="4"/>
          <c:tx>
            <c:strRef>
              <c:f>all_data_set_unified_file!$U$3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D-46BD-99F9-DCF12AEFB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</a:t>
            </a:r>
            <a:r>
              <a:rPr lang="lv-LV" b="1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all_data_set_unified_file!$AB$4:$AB$24</c:f>
              <c:numCache>
                <c:formatCode>General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66</c:v>
                </c:pt>
                <c:pt idx="3">
                  <c:v>55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66</c:v>
                </c:pt>
                <c:pt idx="8">
                  <c:v>187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8-4B33-9E9D-D6E0AC0A04F2}"/>
            </c:ext>
          </c:extLst>
        </c:ser>
        <c:ser>
          <c:idx val="1"/>
          <c:order val="1"/>
          <c:tx>
            <c:strRef>
              <c:f>all_data_set_unified_file!$AC$2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all_data_set_unified_file!$AC$4:$AC$24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all_data_set_unified_file!$AD$4:$AD$24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Run element count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all_data_set_unified_file!$AB$26:$AB$41</c:f>
              <c:numCache>
                <c:formatCode>General</c:formatCode>
                <c:ptCount val="16"/>
                <c:pt idx="0">
                  <c:v>294</c:v>
                </c:pt>
                <c:pt idx="1">
                  <c:v>316</c:v>
                </c:pt>
                <c:pt idx="2">
                  <c:v>297</c:v>
                </c:pt>
                <c:pt idx="3">
                  <c:v>254</c:v>
                </c:pt>
                <c:pt idx="4">
                  <c:v>251</c:v>
                </c:pt>
                <c:pt idx="5">
                  <c:v>251</c:v>
                </c:pt>
                <c:pt idx="6">
                  <c:v>307</c:v>
                </c:pt>
                <c:pt idx="7">
                  <c:v>438</c:v>
                </c:pt>
                <c:pt idx="8">
                  <c:v>257</c:v>
                </c:pt>
                <c:pt idx="9">
                  <c:v>236</c:v>
                </c:pt>
                <c:pt idx="10">
                  <c:v>257</c:v>
                </c:pt>
                <c:pt idx="11">
                  <c:v>236</c:v>
                </c:pt>
                <c:pt idx="12">
                  <c:v>237</c:v>
                </c:pt>
                <c:pt idx="13">
                  <c:v>287</c:v>
                </c:pt>
                <c:pt idx="14">
                  <c:v>239</c:v>
                </c:pt>
                <c:pt idx="1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A7E-9CB5-71BFEF01EDDE}"/>
            </c:ext>
          </c:extLst>
        </c:ser>
        <c:ser>
          <c:idx val="1"/>
          <c:order val="1"/>
          <c:tx>
            <c:strRef>
              <c:f>all_data_set_unified_file!$AC$2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all_data_set_unified_file!$AC$26:$AC$41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all_data_set_unified_file!$AD$26:$AD$41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all_data_set_unified_file!$AB$43:$AB$60</c:f>
              <c:numCache>
                <c:formatCode>General</c:formatCode>
                <c:ptCount val="18"/>
                <c:pt idx="0">
                  <c:v>226</c:v>
                </c:pt>
                <c:pt idx="1">
                  <c:v>176</c:v>
                </c:pt>
                <c:pt idx="2">
                  <c:v>242</c:v>
                </c:pt>
                <c:pt idx="3">
                  <c:v>231</c:v>
                </c:pt>
                <c:pt idx="4">
                  <c:v>192</c:v>
                </c:pt>
                <c:pt idx="5">
                  <c:v>183</c:v>
                </c:pt>
                <c:pt idx="6">
                  <c:v>188</c:v>
                </c:pt>
                <c:pt idx="7">
                  <c:v>240</c:v>
                </c:pt>
                <c:pt idx="8">
                  <c:v>363</c:v>
                </c:pt>
                <c:pt idx="9">
                  <c:v>176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215</c:v>
                </c:pt>
                <c:pt idx="16">
                  <c:v>176</c:v>
                </c:pt>
                <c:pt idx="1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5-4DF4-8E7D-432A0325FE71}"/>
            </c:ext>
          </c:extLst>
        </c:ser>
        <c:ser>
          <c:idx val="1"/>
          <c:order val="1"/>
          <c:tx>
            <c:strRef>
              <c:f>all_data_set_unified_file!$AC$2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all_data_set_unified_file!$AC$43:$AC$60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all_data_set_unified_file!$AD$43:$AD$60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all_data_set_unified_file!$AB$78:$AB$92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7</c:v>
                </c:pt>
                <c:pt idx="4">
                  <c:v>12</c:v>
                </c:pt>
                <c:pt idx="5">
                  <c:v>66</c:v>
                </c:pt>
                <c:pt idx="6">
                  <c:v>187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8B1-971D-FC2E868F94C7}"/>
            </c:ext>
          </c:extLst>
        </c:ser>
        <c:ser>
          <c:idx val="1"/>
          <c:order val="1"/>
          <c:tx>
            <c:strRef>
              <c:f>all_data_set_unified_file!$AC$2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all_data_set_unified_file!$AC$78:$AC$92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all_data_set_unified_file!$AD$78:$AD$92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Single non-whitespace char </a:t>
            </a:r>
            <a:r>
              <a:rPr lang="lv-LV" sz="1400" b="1" i="0" u="none" strike="noStrike" baseline="0">
                <a:effectLst/>
              </a:rPr>
              <a:t>analysis </a:t>
            </a:r>
            <a:r>
              <a:rPr lang="en-GB" sz="1400" b="1" i="0" u="none" strike="noStrike" baseline="0">
                <a:effectLst/>
              </a:rPr>
              <a:t>(single run</a:t>
            </a:r>
            <a:r>
              <a:rPr lang="lv-LV" sz="1400" b="1" i="0" u="none" strike="noStrike" baseline="0">
                <a:effectLst/>
              </a:rPr>
              <a:t> percentages</a:t>
            </a:r>
            <a:r>
              <a:rPr lang="en-GB" sz="1400" b="1" i="0" u="none" strike="noStrike" baseline="0">
                <a:effectLst/>
              </a:rPr>
              <a:t>) </a:t>
            </a:r>
            <a:r>
              <a:rPr lang="lv-LV" sz="1400" b="1" i="0" u="none" strike="noStrike" baseline="0">
                <a:effectLst/>
              </a:rPr>
              <a:t> (clean)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all_data_set_unified_file!$AI$3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all_data_set_unified_file!$AI$4:$AI$24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A-45E0-9A25-75143BC5E6BD}"/>
            </c:ext>
          </c:extLst>
        </c:ser>
        <c:ser>
          <c:idx val="1"/>
          <c:order val="1"/>
          <c:tx>
            <c:strRef>
              <c:f>all_data_set_unified_file!$AJ$3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all_data_set_unified_file!$AJ$4:$AJ$24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A-45E0-9A25-75143BC5E6BD}"/>
            </c:ext>
          </c:extLst>
        </c:ser>
        <c:ser>
          <c:idx val="2"/>
          <c:order val="2"/>
          <c:tx>
            <c:strRef>
              <c:f>all_data_set_unified_file!$AK$3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all_data_set_unified_file!$AK$4:$AK$24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38.18</c:v>
                </c:pt>
                <c:pt idx="4">
                  <c:v>0</c:v>
                </c:pt>
                <c:pt idx="5">
                  <c:v>42.86</c:v>
                </c:pt>
                <c:pt idx="6">
                  <c:v>0</c:v>
                </c:pt>
                <c:pt idx="7">
                  <c:v>0</c:v>
                </c:pt>
                <c:pt idx="8">
                  <c:v>5.35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A-45E0-9A25-75143BC5E6BD}"/>
            </c:ext>
          </c:extLst>
        </c:ser>
        <c:ser>
          <c:idx val="3"/>
          <c:order val="3"/>
          <c:tx>
            <c:strRef>
              <c:f>all_data_set_unified_file!$AL$3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all_data_set_unified_file!$AL$4:$AL$24</c:f>
              <c:numCache>
                <c:formatCode>General</c:formatCode>
                <c:ptCount val="21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56.36</c:v>
                </c:pt>
                <c:pt idx="4">
                  <c:v>100</c:v>
                </c:pt>
                <c:pt idx="5">
                  <c:v>57.14</c:v>
                </c:pt>
                <c:pt idx="6">
                  <c:v>100</c:v>
                </c:pt>
                <c:pt idx="7">
                  <c:v>100</c:v>
                </c:pt>
                <c:pt idx="8">
                  <c:v>94.65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CA-45E0-9A25-75143BC5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(hide in text)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all_data_set_unified_file!$AI$3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all_data_set_unified_file!$AI$26:$AI$41</c:f>
              <c:numCache>
                <c:formatCode>General</c:formatCode>
                <c:ptCount val="16"/>
                <c:pt idx="0">
                  <c:v>38.1</c:v>
                </c:pt>
                <c:pt idx="1">
                  <c:v>35.44</c:v>
                </c:pt>
                <c:pt idx="2">
                  <c:v>38.380000000000003</c:v>
                </c:pt>
                <c:pt idx="3">
                  <c:v>44.09</c:v>
                </c:pt>
                <c:pt idx="4">
                  <c:v>44.62</c:v>
                </c:pt>
                <c:pt idx="5">
                  <c:v>44.62</c:v>
                </c:pt>
                <c:pt idx="6">
                  <c:v>36.81</c:v>
                </c:pt>
                <c:pt idx="7">
                  <c:v>25.8</c:v>
                </c:pt>
                <c:pt idx="8">
                  <c:v>43.58</c:v>
                </c:pt>
                <c:pt idx="9">
                  <c:v>47.46</c:v>
                </c:pt>
                <c:pt idx="10">
                  <c:v>43.58</c:v>
                </c:pt>
                <c:pt idx="11">
                  <c:v>47.46</c:v>
                </c:pt>
                <c:pt idx="12">
                  <c:v>47.26</c:v>
                </c:pt>
                <c:pt idx="13">
                  <c:v>39.72</c:v>
                </c:pt>
                <c:pt idx="14">
                  <c:v>47.28</c:v>
                </c:pt>
                <c:pt idx="15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79C-BCDC-097B89352FBD}"/>
            </c:ext>
          </c:extLst>
        </c:ser>
        <c:ser>
          <c:idx val="1"/>
          <c:order val="1"/>
          <c:tx>
            <c:strRef>
              <c:f>all_data_set_unified_file!$AJ$3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all_data_set_unified_file!$AJ$26:$AJ$41</c:f>
              <c:numCache>
                <c:formatCode>General</c:formatCode>
                <c:ptCount val="16"/>
                <c:pt idx="0">
                  <c:v>33.33</c:v>
                </c:pt>
                <c:pt idx="1">
                  <c:v>31.33</c:v>
                </c:pt>
                <c:pt idx="2">
                  <c:v>34.01</c:v>
                </c:pt>
                <c:pt idx="3">
                  <c:v>37.4</c:v>
                </c:pt>
                <c:pt idx="4">
                  <c:v>39.44</c:v>
                </c:pt>
                <c:pt idx="5">
                  <c:v>38.65</c:v>
                </c:pt>
                <c:pt idx="6">
                  <c:v>32.25</c:v>
                </c:pt>
                <c:pt idx="7">
                  <c:v>22.83</c:v>
                </c:pt>
                <c:pt idx="8">
                  <c:v>36.96</c:v>
                </c:pt>
                <c:pt idx="9">
                  <c:v>40.25</c:v>
                </c:pt>
                <c:pt idx="10">
                  <c:v>36.96</c:v>
                </c:pt>
                <c:pt idx="11">
                  <c:v>40.25</c:v>
                </c:pt>
                <c:pt idx="12">
                  <c:v>40.51</c:v>
                </c:pt>
                <c:pt idx="13">
                  <c:v>33.450000000000003</c:v>
                </c:pt>
                <c:pt idx="14">
                  <c:v>40.17</c:v>
                </c:pt>
                <c:pt idx="15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B-479C-BCDC-097B89352FBD}"/>
            </c:ext>
          </c:extLst>
        </c:ser>
        <c:ser>
          <c:idx val="2"/>
          <c:order val="2"/>
          <c:tx>
            <c:strRef>
              <c:f>all_data_set_unified_file!$AK$3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all_data_set_unified_file!$AK$26:$AK$41</c:f>
              <c:numCache>
                <c:formatCode>General</c:formatCode>
                <c:ptCount val="16"/>
                <c:pt idx="0">
                  <c:v>10.88</c:v>
                </c:pt>
                <c:pt idx="1">
                  <c:v>9.81</c:v>
                </c:pt>
                <c:pt idx="2">
                  <c:v>16.84</c:v>
                </c:pt>
                <c:pt idx="3">
                  <c:v>11.81</c:v>
                </c:pt>
                <c:pt idx="4">
                  <c:v>12.75</c:v>
                </c:pt>
                <c:pt idx="5">
                  <c:v>11.55</c:v>
                </c:pt>
                <c:pt idx="6">
                  <c:v>9.1199999999999992</c:v>
                </c:pt>
                <c:pt idx="7">
                  <c:v>8.68</c:v>
                </c:pt>
                <c:pt idx="8">
                  <c:v>19.07</c:v>
                </c:pt>
                <c:pt idx="9">
                  <c:v>11.86</c:v>
                </c:pt>
                <c:pt idx="10">
                  <c:v>19.07</c:v>
                </c:pt>
                <c:pt idx="11">
                  <c:v>11.86</c:v>
                </c:pt>
                <c:pt idx="12">
                  <c:v>11.81</c:v>
                </c:pt>
                <c:pt idx="13">
                  <c:v>10.45</c:v>
                </c:pt>
                <c:pt idx="14">
                  <c:v>12.13</c:v>
                </c:pt>
                <c:pt idx="15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1B-479C-BCDC-097B89352FBD}"/>
            </c:ext>
          </c:extLst>
        </c:ser>
        <c:ser>
          <c:idx val="3"/>
          <c:order val="3"/>
          <c:tx>
            <c:strRef>
              <c:f>all_data_set_unified_file!$AL$3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all_data_set_unified_file!$AL$26:$AL$41</c:f>
              <c:numCache>
                <c:formatCode>General</c:formatCode>
                <c:ptCount val="16"/>
                <c:pt idx="0">
                  <c:v>17.690000000000001</c:v>
                </c:pt>
                <c:pt idx="1">
                  <c:v>23.42</c:v>
                </c:pt>
                <c:pt idx="2">
                  <c:v>10.77</c:v>
                </c:pt>
                <c:pt idx="3">
                  <c:v>6.69</c:v>
                </c:pt>
                <c:pt idx="4">
                  <c:v>3.19</c:v>
                </c:pt>
                <c:pt idx="5">
                  <c:v>5.18</c:v>
                </c:pt>
                <c:pt idx="6">
                  <c:v>21.82</c:v>
                </c:pt>
                <c:pt idx="7">
                  <c:v>42.69</c:v>
                </c:pt>
                <c:pt idx="8">
                  <c:v>0.39</c:v>
                </c:pt>
                <c:pt idx="9">
                  <c:v>0.42</c:v>
                </c:pt>
                <c:pt idx="10">
                  <c:v>0.39</c:v>
                </c:pt>
                <c:pt idx="11">
                  <c:v>0.42</c:v>
                </c:pt>
                <c:pt idx="12">
                  <c:v>0.42</c:v>
                </c:pt>
                <c:pt idx="13">
                  <c:v>16.38</c:v>
                </c:pt>
                <c:pt idx="14">
                  <c:v>0.42</c:v>
                </c:pt>
                <c:pt idx="15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1B-479C-BCDC-097B89352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(modify RGB color channels)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all_data_set_unified_file!$AI$3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all_data_set_unified_file!$AI$43:$AI$60</c:f>
              <c:numCache>
                <c:formatCode>General</c:formatCode>
                <c:ptCount val="18"/>
                <c:pt idx="0">
                  <c:v>0.88</c:v>
                </c:pt>
                <c:pt idx="1">
                  <c:v>4.55</c:v>
                </c:pt>
                <c:pt idx="2">
                  <c:v>6.2</c:v>
                </c:pt>
                <c:pt idx="3">
                  <c:v>1.73</c:v>
                </c:pt>
                <c:pt idx="4">
                  <c:v>17.190000000000001</c:v>
                </c:pt>
                <c:pt idx="5">
                  <c:v>4.92</c:v>
                </c:pt>
                <c:pt idx="6">
                  <c:v>1.06</c:v>
                </c:pt>
                <c:pt idx="7">
                  <c:v>2.92</c:v>
                </c:pt>
                <c:pt idx="8">
                  <c:v>0.55000000000000004</c:v>
                </c:pt>
                <c:pt idx="9">
                  <c:v>2.27</c:v>
                </c:pt>
                <c:pt idx="10">
                  <c:v>25</c:v>
                </c:pt>
                <c:pt idx="11">
                  <c:v>3.98</c:v>
                </c:pt>
                <c:pt idx="12">
                  <c:v>25</c:v>
                </c:pt>
                <c:pt idx="13">
                  <c:v>4.55</c:v>
                </c:pt>
                <c:pt idx="14">
                  <c:v>4.55</c:v>
                </c:pt>
                <c:pt idx="15">
                  <c:v>10.23</c:v>
                </c:pt>
                <c:pt idx="16">
                  <c:v>8.52</c:v>
                </c:pt>
                <c:pt idx="17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3-4C80-92D9-D103D11CDBEF}"/>
            </c:ext>
          </c:extLst>
        </c:ser>
        <c:ser>
          <c:idx val="1"/>
          <c:order val="1"/>
          <c:tx>
            <c:strRef>
              <c:f>all_data_set_unified_file!$AJ$3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all_data_set_unified_file!$AJ$43:$AJ$60</c:f>
              <c:numCache>
                <c:formatCode>General</c:formatCode>
                <c:ptCount val="18"/>
                <c:pt idx="0">
                  <c:v>75.66</c:v>
                </c:pt>
                <c:pt idx="1">
                  <c:v>93.18</c:v>
                </c:pt>
                <c:pt idx="2">
                  <c:v>43.8</c:v>
                </c:pt>
                <c:pt idx="3">
                  <c:v>71</c:v>
                </c:pt>
                <c:pt idx="4">
                  <c:v>57.29</c:v>
                </c:pt>
                <c:pt idx="5">
                  <c:v>87.98</c:v>
                </c:pt>
                <c:pt idx="6">
                  <c:v>89.89</c:v>
                </c:pt>
                <c:pt idx="7">
                  <c:v>66.25</c:v>
                </c:pt>
                <c:pt idx="8">
                  <c:v>47.38</c:v>
                </c:pt>
                <c:pt idx="9">
                  <c:v>19.89</c:v>
                </c:pt>
                <c:pt idx="10">
                  <c:v>75</c:v>
                </c:pt>
                <c:pt idx="11">
                  <c:v>27.27</c:v>
                </c:pt>
                <c:pt idx="12">
                  <c:v>75</c:v>
                </c:pt>
                <c:pt idx="13">
                  <c:v>80.680000000000007</c:v>
                </c:pt>
                <c:pt idx="14">
                  <c:v>93.75</c:v>
                </c:pt>
                <c:pt idx="15">
                  <c:v>68.84</c:v>
                </c:pt>
                <c:pt idx="16">
                  <c:v>65.34</c:v>
                </c:pt>
                <c:pt idx="17">
                  <c:v>95.51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3-4C80-92D9-D103D11CDBEF}"/>
            </c:ext>
          </c:extLst>
        </c:ser>
        <c:ser>
          <c:idx val="2"/>
          <c:order val="2"/>
          <c:tx>
            <c:strRef>
              <c:f>all_data_set_unified_file!$AK$3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all_data_set_unified_file!$AK$43:$AK$60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12.81</c:v>
                </c:pt>
                <c:pt idx="3">
                  <c:v>10.39</c:v>
                </c:pt>
                <c:pt idx="4">
                  <c:v>8.85</c:v>
                </c:pt>
                <c:pt idx="5">
                  <c:v>2.19</c:v>
                </c:pt>
                <c:pt idx="6">
                  <c:v>0.53</c:v>
                </c:pt>
                <c:pt idx="7">
                  <c:v>0</c:v>
                </c:pt>
                <c:pt idx="8">
                  <c:v>2.75</c:v>
                </c:pt>
                <c:pt idx="9">
                  <c:v>57.95</c:v>
                </c:pt>
                <c:pt idx="10">
                  <c:v>0</c:v>
                </c:pt>
                <c:pt idx="11">
                  <c:v>53.98</c:v>
                </c:pt>
                <c:pt idx="12">
                  <c:v>0</c:v>
                </c:pt>
                <c:pt idx="13">
                  <c:v>9.09</c:v>
                </c:pt>
                <c:pt idx="14">
                  <c:v>0</c:v>
                </c:pt>
                <c:pt idx="15">
                  <c:v>0</c:v>
                </c:pt>
                <c:pt idx="16">
                  <c:v>20.45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3-4C80-92D9-D103D11CDBEF}"/>
            </c:ext>
          </c:extLst>
        </c:ser>
        <c:ser>
          <c:idx val="3"/>
          <c:order val="3"/>
          <c:tx>
            <c:strRef>
              <c:f>all_data_set_unified_file!$AL$3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all_data_set_unified_file!$AL$43:$AL$60</c:f>
              <c:numCache>
                <c:formatCode>General</c:formatCode>
                <c:ptCount val="18"/>
                <c:pt idx="0">
                  <c:v>23.45</c:v>
                </c:pt>
                <c:pt idx="1">
                  <c:v>2.27</c:v>
                </c:pt>
                <c:pt idx="2">
                  <c:v>37.19</c:v>
                </c:pt>
                <c:pt idx="3">
                  <c:v>16.88</c:v>
                </c:pt>
                <c:pt idx="4">
                  <c:v>16.670000000000002</c:v>
                </c:pt>
                <c:pt idx="5">
                  <c:v>4.92</c:v>
                </c:pt>
                <c:pt idx="6">
                  <c:v>8.51</c:v>
                </c:pt>
                <c:pt idx="7">
                  <c:v>30.83</c:v>
                </c:pt>
                <c:pt idx="8">
                  <c:v>49.31</c:v>
                </c:pt>
                <c:pt idx="9">
                  <c:v>19.89</c:v>
                </c:pt>
                <c:pt idx="10">
                  <c:v>0</c:v>
                </c:pt>
                <c:pt idx="11">
                  <c:v>14.77</c:v>
                </c:pt>
                <c:pt idx="12">
                  <c:v>0</c:v>
                </c:pt>
                <c:pt idx="13">
                  <c:v>5.68</c:v>
                </c:pt>
                <c:pt idx="14">
                  <c:v>1.7</c:v>
                </c:pt>
                <c:pt idx="15">
                  <c:v>20.93</c:v>
                </c:pt>
                <c:pt idx="16">
                  <c:v>5.68</c:v>
                </c:pt>
                <c:pt idx="17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3-4C80-92D9-D103D11C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(unicode_homoglyphs)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all_data_set_unified_file!$AI$3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all_data_set_unified_file!$AI$78:$AI$92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B-42FA-9EBA-0012AA1CA8E1}"/>
            </c:ext>
          </c:extLst>
        </c:ser>
        <c:ser>
          <c:idx val="1"/>
          <c:order val="1"/>
          <c:tx>
            <c:strRef>
              <c:f>all_data_set_unified_file!$AJ$3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all_data_set_unified_file!$AJ$78:$AJ$92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B-42FA-9EBA-0012AA1CA8E1}"/>
            </c:ext>
          </c:extLst>
        </c:ser>
        <c:ser>
          <c:idx val="2"/>
          <c:order val="2"/>
          <c:tx>
            <c:strRef>
              <c:f>all_data_set_unified_file!$AK$3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all_data_set_unified_file!$AK$78:$AK$92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38.18</c:v>
                </c:pt>
                <c:pt idx="3">
                  <c:v>42.86</c:v>
                </c:pt>
                <c:pt idx="4">
                  <c:v>0</c:v>
                </c:pt>
                <c:pt idx="5">
                  <c:v>0</c:v>
                </c:pt>
                <c:pt idx="6">
                  <c:v>5.35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B-42FA-9EBA-0012AA1CA8E1}"/>
            </c:ext>
          </c:extLst>
        </c:ser>
        <c:ser>
          <c:idx val="3"/>
          <c:order val="3"/>
          <c:tx>
            <c:strRef>
              <c:f>all_data_set_unified_file!$AL$3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all_data_set_unified_file!$AL$78:$AL$92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56.36</c:v>
                </c:pt>
                <c:pt idx="3">
                  <c:v>57.14</c:v>
                </c:pt>
                <c:pt idx="4">
                  <c:v>100</c:v>
                </c:pt>
                <c:pt idx="5">
                  <c:v>100</c:v>
                </c:pt>
                <c:pt idx="6">
                  <c:v>94.65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4B-42FA-9EBA-0012AA1C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(clean)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all_data_set_unified_file!$AM$4:$AM$24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4-462D-9BCF-FEF4C23C9206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all_data_set_unified_file!$AN$4:$AN$24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4-462D-9BCF-FEF4C23C9206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all_data_set_unified_file!$AO$4:$AO$24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</c:v>
                </c:pt>
                <c:pt idx="4">
                  <c:v>0</c:v>
                </c:pt>
                <c:pt idx="5">
                  <c:v>3.19</c:v>
                </c:pt>
                <c:pt idx="6">
                  <c:v>0</c:v>
                </c:pt>
                <c:pt idx="7">
                  <c:v>0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04-462D-9BCF-FEF4C23C9206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all_data_set_unified_file!$AP$4:$AP$24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4.21</c:v>
                </c:pt>
                <c:pt idx="4">
                  <c:v>20</c:v>
                </c:pt>
                <c:pt idx="5">
                  <c:v>4.26</c:v>
                </c:pt>
                <c:pt idx="6">
                  <c:v>6.86</c:v>
                </c:pt>
                <c:pt idx="7">
                  <c:v>40.24</c:v>
                </c:pt>
                <c:pt idx="8">
                  <c:v>9.3000000000000007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04-462D-9BCF-FEF4C23C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hide in text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all_data_set_unified_file!$AM$26:$AM$41</c:f>
              <c:numCache>
                <c:formatCode>General</c:formatCode>
                <c:ptCount val="16"/>
                <c:pt idx="0">
                  <c:v>9.25</c:v>
                </c:pt>
                <c:pt idx="1">
                  <c:v>9.81</c:v>
                </c:pt>
                <c:pt idx="2">
                  <c:v>6.79</c:v>
                </c:pt>
                <c:pt idx="3">
                  <c:v>10.94</c:v>
                </c:pt>
                <c:pt idx="4">
                  <c:v>10.79</c:v>
                </c:pt>
                <c:pt idx="5">
                  <c:v>10.01</c:v>
                </c:pt>
                <c:pt idx="6">
                  <c:v>10.199999999999999</c:v>
                </c:pt>
                <c:pt idx="7">
                  <c:v>3.97</c:v>
                </c:pt>
                <c:pt idx="8">
                  <c:v>2.95</c:v>
                </c:pt>
                <c:pt idx="9">
                  <c:v>0.31</c:v>
                </c:pt>
                <c:pt idx="10">
                  <c:v>2.93</c:v>
                </c:pt>
                <c:pt idx="11">
                  <c:v>0.19</c:v>
                </c:pt>
                <c:pt idx="12">
                  <c:v>10.61</c:v>
                </c:pt>
                <c:pt idx="13">
                  <c:v>9.85</c:v>
                </c:pt>
                <c:pt idx="14">
                  <c:v>0.23</c:v>
                </c:pt>
                <c:pt idx="15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9-4E68-98C7-73039D82FB9A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all_data_set_unified_file!$AN$26:$AN$41</c:f>
              <c:numCache>
                <c:formatCode>General</c:formatCode>
                <c:ptCount val="16"/>
                <c:pt idx="0">
                  <c:v>8.09</c:v>
                </c:pt>
                <c:pt idx="1">
                  <c:v>8.67</c:v>
                </c:pt>
                <c:pt idx="2">
                  <c:v>6.01</c:v>
                </c:pt>
                <c:pt idx="3">
                  <c:v>9.2799999999999994</c:v>
                </c:pt>
                <c:pt idx="4">
                  <c:v>9.5399999999999991</c:v>
                </c:pt>
                <c:pt idx="5">
                  <c:v>8.67</c:v>
                </c:pt>
                <c:pt idx="6">
                  <c:v>8.94</c:v>
                </c:pt>
                <c:pt idx="7">
                  <c:v>3.51</c:v>
                </c:pt>
                <c:pt idx="8">
                  <c:v>2.5099999999999998</c:v>
                </c:pt>
                <c:pt idx="9">
                  <c:v>0.26</c:v>
                </c:pt>
                <c:pt idx="10">
                  <c:v>2.48</c:v>
                </c:pt>
                <c:pt idx="11">
                  <c:v>0.16</c:v>
                </c:pt>
                <c:pt idx="12">
                  <c:v>9.09</c:v>
                </c:pt>
                <c:pt idx="13">
                  <c:v>8.3000000000000007</c:v>
                </c:pt>
                <c:pt idx="14">
                  <c:v>0.19</c:v>
                </c:pt>
                <c:pt idx="15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9-4E68-98C7-73039D82FB9A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all_data_set_unified_file!$AO$26:$AO$41</c:f>
              <c:numCache>
                <c:formatCode>General</c:formatCode>
                <c:ptCount val="16"/>
                <c:pt idx="0">
                  <c:v>2.64</c:v>
                </c:pt>
                <c:pt idx="1">
                  <c:v>2.71</c:v>
                </c:pt>
                <c:pt idx="2">
                  <c:v>2.98</c:v>
                </c:pt>
                <c:pt idx="3">
                  <c:v>2.93</c:v>
                </c:pt>
                <c:pt idx="4">
                  <c:v>3.08</c:v>
                </c:pt>
                <c:pt idx="5">
                  <c:v>2.59</c:v>
                </c:pt>
                <c:pt idx="6">
                  <c:v>2.5299999999999998</c:v>
                </c:pt>
                <c:pt idx="7">
                  <c:v>1.33</c:v>
                </c:pt>
                <c:pt idx="8">
                  <c:v>1.29</c:v>
                </c:pt>
                <c:pt idx="9">
                  <c:v>0.08</c:v>
                </c:pt>
                <c:pt idx="10">
                  <c:v>1.28</c:v>
                </c:pt>
                <c:pt idx="11">
                  <c:v>0.05</c:v>
                </c:pt>
                <c:pt idx="12">
                  <c:v>2.65</c:v>
                </c:pt>
                <c:pt idx="13">
                  <c:v>2.59</c:v>
                </c:pt>
                <c:pt idx="14">
                  <c:v>0.06</c:v>
                </c:pt>
                <c:pt idx="15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9-4E68-98C7-73039D82FB9A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all_data_set_unified_file!$AP$26:$AP$41</c:f>
              <c:numCache>
                <c:formatCode>General</c:formatCode>
                <c:ptCount val="16"/>
                <c:pt idx="0">
                  <c:v>4.29</c:v>
                </c:pt>
                <c:pt idx="1">
                  <c:v>6.48</c:v>
                </c:pt>
                <c:pt idx="2">
                  <c:v>1.9</c:v>
                </c:pt>
                <c:pt idx="3">
                  <c:v>1.66</c:v>
                </c:pt>
                <c:pt idx="4">
                  <c:v>0.77</c:v>
                </c:pt>
                <c:pt idx="5">
                  <c:v>1.1599999999999999</c:v>
                </c:pt>
                <c:pt idx="6">
                  <c:v>6.05</c:v>
                </c:pt>
                <c:pt idx="7">
                  <c:v>6.57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0.09</c:v>
                </c:pt>
                <c:pt idx="13">
                  <c:v>4.0599999999999996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C9-4E68-98C7-73039D82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modify RGB color channels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all_data_set_unified_file!$AM$43:$AM$60</c:f>
              <c:numCache>
                <c:formatCode>General</c:formatCode>
                <c:ptCount val="18"/>
                <c:pt idx="0">
                  <c:v>0.42</c:v>
                </c:pt>
                <c:pt idx="1">
                  <c:v>3.57</c:v>
                </c:pt>
                <c:pt idx="2">
                  <c:v>3.69</c:v>
                </c:pt>
                <c:pt idx="3">
                  <c:v>0.43</c:v>
                </c:pt>
                <c:pt idx="4">
                  <c:v>11.46</c:v>
                </c:pt>
                <c:pt idx="5">
                  <c:v>3</c:v>
                </c:pt>
                <c:pt idx="6">
                  <c:v>0.53</c:v>
                </c:pt>
                <c:pt idx="7">
                  <c:v>1.91</c:v>
                </c:pt>
                <c:pt idx="8">
                  <c:v>0.09</c:v>
                </c:pt>
                <c:pt idx="9">
                  <c:v>0.13</c:v>
                </c:pt>
                <c:pt idx="10">
                  <c:v>0.12</c:v>
                </c:pt>
                <c:pt idx="11">
                  <c:v>0.23</c:v>
                </c:pt>
                <c:pt idx="12">
                  <c:v>0.08</c:v>
                </c:pt>
                <c:pt idx="13">
                  <c:v>3.7</c:v>
                </c:pt>
                <c:pt idx="14">
                  <c:v>2.56</c:v>
                </c:pt>
                <c:pt idx="15">
                  <c:v>5.25</c:v>
                </c:pt>
                <c:pt idx="16">
                  <c:v>0.03</c:v>
                </c:pt>
                <c:pt idx="17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D-4BE3-ABC8-1A4DD8ADC40F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all_data_set_unified_file!$AN$43:$AN$60</c:f>
              <c:numCache>
                <c:formatCode>General</c:formatCode>
                <c:ptCount val="18"/>
                <c:pt idx="0">
                  <c:v>36.31</c:v>
                </c:pt>
                <c:pt idx="1">
                  <c:v>73.209999999999994</c:v>
                </c:pt>
                <c:pt idx="2">
                  <c:v>26.04</c:v>
                </c:pt>
                <c:pt idx="3">
                  <c:v>17.43</c:v>
                </c:pt>
                <c:pt idx="4">
                  <c:v>38.19</c:v>
                </c:pt>
                <c:pt idx="5">
                  <c:v>53.67</c:v>
                </c:pt>
                <c:pt idx="6">
                  <c:v>44.47</c:v>
                </c:pt>
                <c:pt idx="7">
                  <c:v>43.32</c:v>
                </c:pt>
                <c:pt idx="8">
                  <c:v>8.16</c:v>
                </c:pt>
                <c:pt idx="9">
                  <c:v>1.1599999999999999</c:v>
                </c:pt>
                <c:pt idx="10">
                  <c:v>0.37</c:v>
                </c:pt>
                <c:pt idx="11">
                  <c:v>1.57</c:v>
                </c:pt>
                <c:pt idx="12">
                  <c:v>0.23</c:v>
                </c:pt>
                <c:pt idx="13">
                  <c:v>65.739999999999995</c:v>
                </c:pt>
                <c:pt idx="14">
                  <c:v>52.72</c:v>
                </c:pt>
                <c:pt idx="15">
                  <c:v>35.32</c:v>
                </c:pt>
                <c:pt idx="16">
                  <c:v>0.24</c:v>
                </c:pt>
                <c:pt idx="17">
                  <c:v>72.03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D-4BE3-ABC8-1A4DD8ADC40F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all_data_set_unified_file!$AO$43:$AO$60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7.62</c:v>
                </c:pt>
                <c:pt idx="3">
                  <c:v>2.5499999999999998</c:v>
                </c:pt>
                <c:pt idx="4">
                  <c:v>5.9</c:v>
                </c:pt>
                <c:pt idx="5">
                  <c:v>1.33</c:v>
                </c:pt>
                <c:pt idx="6">
                  <c:v>0.26</c:v>
                </c:pt>
                <c:pt idx="7">
                  <c:v>0</c:v>
                </c:pt>
                <c:pt idx="8">
                  <c:v>0.47</c:v>
                </c:pt>
                <c:pt idx="9">
                  <c:v>3.37</c:v>
                </c:pt>
                <c:pt idx="10">
                  <c:v>0</c:v>
                </c:pt>
                <c:pt idx="11">
                  <c:v>3.1</c:v>
                </c:pt>
                <c:pt idx="12">
                  <c:v>0</c:v>
                </c:pt>
                <c:pt idx="13">
                  <c:v>7.41</c:v>
                </c:pt>
                <c:pt idx="14">
                  <c:v>0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3D-4BE3-ABC8-1A4DD8ADC40F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all_data_set_unified_file!$AP$43:$AP$60</c:f>
              <c:numCache>
                <c:formatCode>General</c:formatCode>
                <c:ptCount val="18"/>
                <c:pt idx="0">
                  <c:v>11.25</c:v>
                </c:pt>
                <c:pt idx="1">
                  <c:v>1.79</c:v>
                </c:pt>
                <c:pt idx="2">
                  <c:v>22.11</c:v>
                </c:pt>
                <c:pt idx="3">
                  <c:v>4.1399999999999997</c:v>
                </c:pt>
                <c:pt idx="4">
                  <c:v>11.11</c:v>
                </c:pt>
                <c:pt idx="5">
                  <c:v>3</c:v>
                </c:pt>
                <c:pt idx="6">
                  <c:v>4.21</c:v>
                </c:pt>
                <c:pt idx="7">
                  <c:v>20.16</c:v>
                </c:pt>
                <c:pt idx="8">
                  <c:v>8.49</c:v>
                </c:pt>
                <c:pt idx="9">
                  <c:v>1.1599999999999999</c:v>
                </c:pt>
                <c:pt idx="10">
                  <c:v>0</c:v>
                </c:pt>
                <c:pt idx="11">
                  <c:v>0.85</c:v>
                </c:pt>
                <c:pt idx="12">
                  <c:v>0</c:v>
                </c:pt>
                <c:pt idx="13">
                  <c:v>4.63</c:v>
                </c:pt>
                <c:pt idx="14">
                  <c:v>0.96</c:v>
                </c:pt>
                <c:pt idx="15">
                  <c:v>10.74</c:v>
                </c:pt>
                <c:pt idx="16">
                  <c:v>0.02</c:v>
                </c:pt>
                <c:pt idx="17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3D-4BE3-ABC8-1A4DD8A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unicode_homoglyphs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all_data_set_unified_file!$AM$78:$AM$92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C-4A0B-BB21-3E18E68294BE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all_data_set_unified_file!$AN$78:$AN$92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C-4A0B-BB21-3E18E68294BE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all_data_set_unified_file!$AO$78:$AO$92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3.19</c:v>
                </c:pt>
                <c:pt idx="4">
                  <c:v>0</c:v>
                </c:pt>
                <c:pt idx="5">
                  <c:v>0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C-4A0B-BB21-3E18E68294BE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all_data_set_unified_file!$AP$78:$AP$92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4.26</c:v>
                </c:pt>
                <c:pt idx="4">
                  <c:v>6.86</c:v>
                </c:pt>
                <c:pt idx="5">
                  <c:v>40.24</c:v>
                </c:pt>
                <c:pt idx="6">
                  <c:v>9.3000000000000007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C-4A0B-BB21-3E18E682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unispace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all_data_set_unified_file!$AM$62:$AM$76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8-4B28-A168-4A2460097E33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all_data_set_unified_file!$AN$62:$AN$76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8-4B28-A168-4A2460097E33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all_data_set_unified_file!$AO$62:$AO$76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0</c:v>
                </c:pt>
                <c:pt idx="4">
                  <c:v>3.19</c:v>
                </c:pt>
                <c:pt idx="5">
                  <c:v>0</c:v>
                </c:pt>
                <c:pt idx="6">
                  <c:v>0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8-4B28-A168-4A2460097E33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all_data_set_unified_file!$AP$62:$AP$76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20</c:v>
                </c:pt>
                <c:pt idx="4">
                  <c:v>4.26</c:v>
                </c:pt>
                <c:pt idx="5">
                  <c:v>6.86</c:v>
                </c:pt>
                <c:pt idx="6">
                  <c:v>40.24</c:v>
                </c:pt>
                <c:pt idx="7">
                  <c:v>9.3000000000000007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8-4B28-A168-4A246009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all_data_set_unified_file!$Y$3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all_data_set_unified_file!$Y$4:$Y$24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E-4652-AAF2-68F92066D612}"/>
            </c:ext>
          </c:extLst>
        </c:ser>
        <c:ser>
          <c:idx val="1"/>
          <c:order val="1"/>
          <c:tx>
            <c:strRef>
              <c:f>all_data_set_unified_file!$Z$3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all_data_set_unified_file!$Z$4:$Z$24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E-4652-AAF2-68F92066D612}"/>
            </c:ext>
          </c:extLst>
        </c:ser>
        <c:ser>
          <c:idx val="2"/>
          <c:order val="2"/>
          <c:tx>
            <c:strRef>
              <c:f>all_data_set_unified_file!$AA$3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all_data_set_unified_file!$AA$4:$AA$24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E-4652-AAF2-68F92066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(hide in text)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all_data_set_unified_file!$Y$3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all_data_set_unified_file!$Y$26:$Y$41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D-410B-BA87-7ABDF0F8A737}"/>
            </c:ext>
          </c:extLst>
        </c:ser>
        <c:ser>
          <c:idx val="1"/>
          <c:order val="1"/>
          <c:tx>
            <c:strRef>
              <c:f>all_data_set_unified_file!$Z$3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all_data_set_unified_file!$Z$26:$Z$41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D-410B-BA87-7ABDF0F8A737}"/>
            </c:ext>
          </c:extLst>
        </c:ser>
        <c:ser>
          <c:idx val="2"/>
          <c:order val="2"/>
          <c:tx>
            <c:strRef>
              <c:f>all_data_set_unified_file!$AA$3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all_data_set_unified_file!$AA$26:$AA$41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D-410B-BA87-7ABDF0F8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(modify RGB color channels)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all_data_set_unified_file!$Y$3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all_data_set_unified_file!$Y$43:$Y$60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E-49D2-A171-0C75FB9280CB}"/>
            </c:ext>
          </c:extLst>
        </c:ser>
        <c:ser>
          <c:idx val="1"/>
          <c:order val="1"/>
          <c:tx>
            <c:strRef>
              <c:f>all_data_set_unified_file!$Z$3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all_data_set_unified_file!$Z$43:$Z$60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E-49D2-A171-0C75FB9280CB}"/>
            </c:ext>
          </c:extLst>
        </c:ser>
        <c:ser>
          <c:idx val="2"/>
          <c:order val="2"/>
          <c:tx>
            <c:strRef>
              <c:f>all_data_set_unified_file!$AA$3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all_data_set_unified_file!$AA$43:$AA$60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E-49D2-A171-0C75FB92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(unicode homoglyphs)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all_data_set_unified_file!$Y$3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all_data_set_unified_file!$Y$78:$Y$92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C-42E9-85AE-0CD1FB1199BA}"/>
            </c:ext>
          </c:extLst>
        </c:ser>
        <c:ser>
          <c:idx val="1"/>
          <c:order val="1"/>
          <c:tx>
            <c:strRef>
              <c:f>all_data_set_unified_file!$Z$3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all_data_set_unified_file!$Z$78:$Z$92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C-42E9-85AE-0CD1FB1199BA}"/>
            </c:ext>
          </c:extLst>
        </c:ser>
        <c:ser>
          <c:idx val="2"/>
          <c:order val="2"/>
          <c:tx>
            <c:strRef>
              <c:f>all_data_set_unified_file!$AA$3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all_data_set_unified_file!$AA$78:$AA$92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C-42E9-85AE-0CD1FB11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all_data_set_unified_file!$AU$2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all_data_set_unified_file!$AU$4:$AU$24</c:f>
              <c:numCache>
                <c:formatCode>General</c:formatCode>
                <c:ptCount val="21"/>
                <c:pt idx="0">
                  <c:v>11</c:v>
                </c:pt>
                <c:pt idx="1">
                  <c:v>0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</c:v>
                </c:pt>
                <c:pt idx="6">
                  <c:v>41</c:v>
                </c:pt>
                <c:pt idx="7">
                  <c:v>16</c:v>
                </c:pt>
                <c:pt idx="8">
                  <c:v>2492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604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0-4F1A-B000-4F513919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all_data_set_unified_file!$AV$4:$AV$24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0-4F1A-B000-4F513919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char to non-ASCII char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all_data_set_unified_file!$AV$4:$AV$24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D77-4A76-8BA6-60509BEC5A0B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all_data_set_unified_file!$AV$26:$AV$41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D77-4A76-8BA6-60509BEC5A0B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all_data_set_unified_file!$AV$43:$AV$60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D77-4A76-8BA6-60509BEC5A0B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all_data_set_unified_file!$AV$62:$AV$76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D77-4A76-8BA6-60509BEC5A0B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all_data_set_unified_file!$AV$78:$AV$92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D77-4A76-8BA6-60509BEC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(hide_in_text)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all_data_set_unified_file!$AU$2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all_data_set_unified_file!$AU$26:$AU$41</c:f>
              <c:numCache>
                <c:formatCode>General</c:formatCode>
                <c:ptCount val="16"/>
                <c:pt idx="0">
                  <c:v>11</c:v>
                </c:pt>
                <c:pt idx="1">
                  <c:v>15</c:v>
                </c:pt>
                <c:pt idx="2">
                  <c:v>33</c:v>
                </c:pt>
                <c:pt idx="3">
                  <c:v>0</c:v>
                </c:pt>
                <c:pt idx="4">
                  <c:v>5</c:v>
                </c:pt>
                <c:pt idx="5">
                  <c:v>41</c:v>
                </c:pt>
                <c:pt idx="6">
                  <c:v>16</c:v>
                </c:pt>
                <c:pt idx="7">
                  <c:v>2492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13</c:v>
                </c:pt>
                <c:pt idx="14">
                  <c:v>604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E-4BE1-B32F-0E5A173E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all_data_set_unified_file!$AV$26:$AV$41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E-4BE1-B32F-0E5A173E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(modify_RGB_color_ch)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all_data_set_unified_file!$AU$2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all_data_set_unified_file!$AU$43:$AU$60</c:f>
              <c:numCache>
                <c:formatCode>General</c:formatCode>
                <c:ptCount val="18"/>
                <c:pt idx="0">
                  <c:v>11</c:v>
                </c:pt>
                <c:pt idx="1">
                  <c:v>0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</c:v>
                </c:pt>
                <c:pt idx="6">
                  <c:v>41</c:v>
                </c:pt>
                <c:pt idx="7">
                  <c:v>16</c:v>
                </c:pt>
                <c:pt idx="8">
                  <c:v>2492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604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B20-B36F-F122A342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all_data_set_unified_file!$AV$43:$AV$60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A-4B20-B36F-F122A342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(unicode_homoglyphs)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all_data_set_unified_file!$AU$2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all_data_set_unified_file!$AU$78:$AU$92</c:f>
              <c:numCache>
                <c:formatCode>General</c:formatCode>
                <c:ptCount val="15"/>
                <c:pt idx="0">
                  <c:v>672</c:v>
                </c:pt>
                <c:pt idx="1">
                  <c:v>676</c:v>
                </c:pt>
                <c:pt idx="2">
                  <c:v>694</c:v>
                </c:pt>
                <c:pt idx="3">
                  <c:v>666</c:v>
                </c:pt>
                <c:pt idx="4">
                  <c:v>702</c:v>
                </c:pt>
                <c:pt idx="5">
                  <c:v>677</c:v>
                </c:pt>
                <c:pt idx="6">
                  <c:v>3153</c:v>
                </c:pt>
                <c:pt idx="7">
                  <c:v>661</c:v>
                </c:pt>
                <c:pt idx="8">
                  <c:v>661</c:v>
                </c:pt>
                <c:pt idx="9">
                  <c:v>661</c:v>
                </c:pt>
                <c:pt idx="10">
                  <c:v>662</c:v>
                </c:pt>
                <c:pt idx="11">
                  <c:v>661</c:v>
                </c:pt>
                <c:pt idx="12">
                  <c:v>674</c:v>
                </c:pt>
                <c:pt idx="13">
                  <c:v>1265</c:v>
                </c:pt>
                <c:pt idx="14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4D96-96DA-C097E160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all_data_set_unified_file!$AV$78:$AV$92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9-4D96-96DA-C097E160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Space char analysis (whitespace ratio) </a:t>
            </a:r>
            <a:r>
              <a:rPr lang="lv-LV" b="1" baseline="0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all_data_set_unified_file!$AQ$4:$AQ$24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xVal>
          <c:yVal>
            <c:numRef>
              <c:f>all_data_set_unified_file!$AS$4:$AS$24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5-410A-B925-3F5A75B4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hide_in_text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all_data_set_unified_file!$AQ$26:$AQ$41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xVal>
          <c:yVal>
            <c:numRef>
              <c:f>all_data_set_unified_file!$AS$26:$AS$41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8-48E4-974A-91727C63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modify_RGB_color_ch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all_data_set_unified_file!$AQ$43:$AQ$60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xVal>
          <c:yVal>
            <c:numRef>
              <c:f>all_data_set_unified_file!$AS$43:$AS$60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A-4884-8D03-E133A1E1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unicode_homoglyphs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all_data_set_unified_file!$AQ$78:$AQ$92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xVal>
          <c:yVal>
            <c:numRef>
              <c:f>all_data_set_unified_file!$AS$78:$AS$92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8-47BA-8686-4C53700C9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all_data_set_unified_file!$AQ$4:$AQ$24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D25-A610-DD6300271984}"/>
            </c:ext>
          </c:extLst>
        </c:ser>
        <c:ser>
          <c:idx val="1"/>
          <c:order val="1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all_data_set_unified_file!$AR$4:$AR$24</c:f>
              <c:numCache>
                <c:formatCode>General</c:formatCode>
                <c:ptCount val="21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0</c:v>
                </c:pt>
                <c:pt idx="15">
                  <c:v>1044</c:v>
                </c:pt>
                <c:pt idx="16">
                  <c:v>1117</c:v>
                </c:pt>
                <c:pt idx="17">
                  <c:v>0</c:v>
                </c:pt>
                <c:pt idx="18">
                  <c:v>0</c:v>
                </c:pt>
                <c:pt idx="19">
                  <c:v>155205</c:v>
                </c:pt>
                <c:pt idx="20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1-4D25-A610-DD63002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all_data_set_unified_file!$AS$4:$AS$24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1-4D25-A610-DD63002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all_data_set_unified_file!$AQ$26:$AQ$41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3-4891-B522-A3F30AD89958}"/>
            </c:ext>
          </c:extLst>
        </c:ser>
        <c:ser>
          <c:idx val="1"/>
          <c:order val="1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all_data_set_unified_file!$AR$26:$AR$41</c:f>
              <c:numCache>
                <c:formatCode>General</c:formatCode>
                <c:ptCount val="16"/>
                <c:pt idx="0">
                  <c:v>2259</c:v>
                </c:pt>
                <c:pt idx="1">
                  <c:v>1067</c:v>
                </c:pt>
                <c:pt idx="2">
                  <c:v>5930</c:v>
                </c:pt>
                <c:pt idx="3">
                  <c:v>1779</c:v>
                </c:pt>
                <c:pt idx="4">
                  <c:v>924</c:v>
                </c:pt>
                <c:pt idx="5">
                  <c:v>1908</c:v>
                </c:pt>
                <c:pt idx="6">
                  <c:v>971</c:v>
                </c:pt>
                <c:pt idx="7">
                  <c:v>11272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1280</c:v>
                </c:pt>
                <c:pt idx="13">
                  <c:v>1353</c:v>
                </c:pt>
                <c:pt idx="14">
                  <c:v>155441</c:v>
                </c:pt>
                <c:pt idx="15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3-4891-B522-A3F30AD8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all_data_set_unified_file!$AS$26:$AS$41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3-4891-B522-A3F30AD8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all_data_set_unified_file!$AQ$43:$AQ$60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A5A-BE03-303328E595AC}"/>
            </c:ext>
          </c:extLst>
        </c:ser>
        <c:ser>
          <c:idx val="1"/>
          <c:order val="1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all_data_set_unified_file!$AR$43:$AR$60</c:f>
              <c:numCache>
                <c:formatCode>General</c:formatCode>
                <c:ptCount val="18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1044</c:v>
                </c:pt>
                <c:pt idx="15">
                  <c:v>1117</c:v>
                </c:pt>
                <c:pt idx="16">
                  <c:v>155205</c:v>
                </c:pt>
                <c:pt idx="17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B-4A5A-BE03-303328E5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all_data_set_unified_file!$AS$43:$AS$60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B-4A5A-BE03-303328E5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all_data_set_unified_file!$AQ$78:$AQ$92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C-449E-B7CC-66479EB7CA20}"/>
            </c:ext>
          </c:extLst>
        </c:ser>
        <c:ser>
          <c:idx val="1"/>
          <c:order val="1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all_data_set_unified_file!$AR$78:$AR$92</c:f>
              <c:numCache>
                <c:formatCode>General</c:formatCode>
                <c:ptCount val="15"/>
                <c:pt idx="0">
                  <c:v>2023</c:v>
                </c:pt>
                <c:pt idx="1">
                  <c:v>831</c:v>
                </c:pt>
                <c:pt idx="2">
                  <c:v>5694</c:v>
                </c:pt>
                <c:pt idx="3">
                  <c:v>688</c:v>
                </c:pt>
                <c:pt idx="4">
                  <c:v>1672</c:v>
                </c:pt>
                <c:pt idx="5">
                  <c:v>735</c:v>
                </c:pt>
                <c:pt idx="6">
                  <c:v>11036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1044</c:v>
                </c:pt>
                <c:pt idx="12">
                  <c:v>1117</c:v>
                </c:pt>
                <c:pt idx="13">
                  <c:v>155205</c:v>
                </c:pt>
                <c:pt idx="1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C-449E-B7CC-66479EB7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all_data_set_unified_file!$AS$78:$AS$92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C-449E-B7CC-66479EB7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</a:t>
            </a:r>
            <a:r>
              <a:rPr lang="lv-LV" b="1" baseline="0"/>
              <a:t> chars</a:t>
            </a:r>
            <a:r>
              <a:rPr lang="lv-LV" b="1"/>
              <a:t>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all_data_set_unified_file!$AR$4:$AR$24</c:f>
              <c:numCache>
                <c:formatCode>General</c:formatCode>
                <c:ptCount val="21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0</c:v>
                </c:pt>
                <c:pt idx="15">
                  <c:v>1044</c:v>
                </c:pt>
                <c:pt idx="16">
                  <c:v>1117</c:v>
                </c:pt>
                <c:pt idx="17">
                  <c:v>0</c:v>
                </c:pt>
                <c:pt idx="18">
                  <c:v>0</c:v>
                </c:pt>
                <c:pt idx="19">
                  <c:v>155205</c:v>
                </c:pt>
                <c:pt idx="20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9-421D-AFFE-7E34DBB68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all_data_set_unified_file!$AS$4:$AS$24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9-421D-AFFE-7E34DBB68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hide in text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all_data_set_unified_file!$AR$26:$AR$41</c:f>
              <c:numCache>
                <c:formatCode>General</c:formatCode>
                <c:ptCount val="16"/>
                <c:pt idx="0">
                  <c:v>2259</c:v>
                </c:pt>
                <c:pt idx="1">
                  <c:v>1067</c:v>
                </c:pt>
                <c:pt idx="2">
                  <c:v>5930</c:v>
                </c:pt>
                <c:pt idx="3">
                  <c:v>1779</c:v>
                </c:pt>
                <c:pt idx="4">
                  <c:v>924</c:v>
                </c:pt>
                <c:pt idx="5">
                  <c:v>1908</c:v>
                </c:pt>
                <c:pt idx="6">
                  <c:v>971</c:v>
                </c:pt>
                <c:pt idx="7">
                  <c:v>11272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1280</c:v>
                </c:pt>
                <c:pt idx="13">
                  <c:v>1353</c:v>
                </c:pt>
                <c:pt idx="14">
                  <c:v>155441</c:v>
                </c:pt>
                <c:pt idx="15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7-4172-8801-4FB83BCE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all_data_set_unified_file!$AS$26:$AS$41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7-4172-8801-4FB83BCE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(modify RGB color channels)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all_data_set_unified_file!$AR$43:$AR$60</c:f>
              <c:numCache>
                <c:formatCode>General</c:formatCode>
                <c:ptCount val="18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1044</c:v>
                </c:pt>
                <c:pt idx="15">
                  <c:v>1117</c:v>
                </c:pt>
                <c:pt idx="16">
                  <c:v>155205</c:v>
                </c:pt>
                <c:pt idx="17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48C-A6AD-E8F66A5D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all_data_set_unified_file!$AS$43:$AS$60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6-448C-A6AD-E8F66A5D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unicode_homoglyphs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all_data_set_unified_file!$AR$78:$AR$92</c:f>
              <c:numCache>
                <c:formatCode>General</c:formatCode>
                <c:ptCount val="15"/>
                <c:pt idx="0">
                  <c:v>2023</c:v>
                </c:pt>
                <c:pt idx="1">
                  <c:v>831</c:v>
                </c:pt>
                <c:pt idx="2">
                  <c:v>5694</c:v>
                </c:pt>
                <c:pt idx="3">
                  <c:v>688</c:v>
                </c:pt>
                <c:pt idx="4">
                  <c:v>1672</c:v>
                </c:pt>
                <c:pt idx="5">
                  <c:v>735</c:v>
                </c:pt>
                <c:pt idx="6">
                  <c:v>11036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1044</c:v>
                </c:pt>
                <c:pt idx="12">
                  <c:v>1117</c:v>
                </c:pt>
                <c:pt idx="13">
                  <c:v>155205</c:v>
                </c:pt>
                <c:pt idx="1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8-4DC2-A982-C88171A9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all_data_set_unified_file!$AS$78:$AS$92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8-4DC2-A982-C88171A9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r>
              <a:rPr lang="lv-LV" b="1" baseline="0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all_data_set_unified_file!$AT$4:$AT$24</c:f>
              <c:numCache>
                <c:formatCode>General</c:formatCode>
                <c:ptCount val="21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0</c:v>
                </c:pt>
                <c:pt idx="15">
                  <c:v>7239</c:v>
                </c:pt>
                <c:pt idx="16">
                  <c:v>6656</c:v>
                </c:pt>
                <c:pt idx="17">
                  <c:v>0</c:v>
                </c:pt>
                <c:pt idx="18">
                  <c:v>0</c:v>
                </c:pt>
                <c:pt idx="19">
                  <c:v>1339700</c:v>
                </c:pt>
                <c:pt idx="20">
                  <c:v>7875</c:v>
                </c:pt>
              </c:numCache>
            </c:numRef>
          </c:xVal>
          <c:yVal>
            <c:numRef>
              <c:f>all_data_set_unified_file!$AV$4:$AV$24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B-4BE6-A561-BE7FB7AE8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hide_in_text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all_data_set_unified_file!$AT$26:$AT$41</c:f>
              <c:numCache>
                <c:formatCode>General</c:formatCode>
                <c:ptCount val="16"/>
                <c:pt idx="0">
                  <c:v>13966</c:v>
                </c:pt>
                <c:pt idx="1">
                  <c:v>5562</c:v>
                </c:pt>
                <c:pt idx="2">
                  <c:v>37373</c:v>
                </c:pt>
                <c:pt idx="3">
                  <c:v>4488</c:v>
                </c:pt>
                <c:pt idx="4">
                  <c:v>4848</c:v>
                </c:pt>
                <c:pt idx="5">
                  <c:v>10358</c:v>
                </c:pt>
                <c:pt idx="6">
                  <c:v>5155</c:v>
                </c:pt>
                <c:pt idx="7">
                  <c:v>73799</c:v>
                </c:pt>
                <c:pt idx="8">
                  <c:v>15827</c:v>
                </c:pt>
                <c:pt idx="9">
                  <c:v>180081</c:v>
                </c:pt>
                <c:pt idx="10">
                  <c:v>14517</c:v>
                </c:pt>
                <c:pt idx="11">
                  <c:v>286817</c:v>
                </c:pt>
                <c:pt idx="12">
                  <c:v>7711</c:v>
                </c:pt>
                <c:pt idx="13">
                  <c:v>7128</c:v>
                </c:pt>
                <c:pt idx="14">
                  <c:v>1340172</c:v>
                </c:pt>
                <c:pt idx="15">
                  <c:v>8347</c:v>
                </c:pt>
              </c:numCache>
            </c:numRef>
          </c:xVal>
          <c:yVal>
            <c:numRef>
              <c:f>all_data_set_unified_file!$AV$26:$AV$41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8-414A-A0B6-CDD00A7A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modify_RGB_color_ch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all_data_set_unified_file!$AT$43:$AT$60</c:f>
              <c:numCache>
                <c:formatCode>General</c:formatCode>
                <c:ptCount val="18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7239</c:v>
                </c:pt>
                <c:pt idx="15">
                  <c:v>6656</c:v>
                </c:pt>
                <c:pt idx="16">
                  <c:v>1339700</c:v>
                </c:pt>
                <c:pt idx="17">
                  <c:v>7875</c:v>
                </c:pt>
              </c:numCache>
            </c:numRef>
          </c:xVal>
          <c:yVal>
            <c:numRef>
              <c:f>all_data_set_unified_file!$AV$43:$AV$60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B-42AB-BFB8-9057ECA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unicode_homoglyphs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all_data_set_unified_file!$AT$78:$AT$92</c:f>
              <c:numCache>
                <c:formatCode>General</c:formatCode>
                <c:ptCount val="15"/>
                <c:pt idx="0">
                  <c:v>13494</c:v>
                </c:pt>
                <c:pt idx="1">
                  <c:v>5090</c:v>
                </c:pt>
                <c:pt idx="2">
                  <c:v>36901</c:v>
                </c:pt>
                <c:pt idx="3">
                  <c:v>4376</c:v>
                </c:pt>
                <c:pt idx="4">
                  <c:v>9886</c:v>
                </c:pt>
                <c:pt idx="5">
                  <c:v>4683</c:v>
                </c:pt>
                <c:pt idx="6">
                  <c:v>73327</c:v>
                </c:pt>
                <c:pt idx="7">
                  <c:v>15355</c:v>
                </c:pt>
                <c:pt idx="8">
                  <c:v>179609</c:v>
                </c:pt>
                <c:pt idx="9">
                  <c:v>14045</c:v>
                </c:pt>
                <c:pt idx="10">
                  <c:v>286345</c:v>
                </c:pt>
                <c:pt idx="11">
                  <c:v>7239</c:v>
                </c:pt>
                <c:pt idx="12">
                  <c:v>6656</c:v>
                </c:pt>
                <c:pt idx="13">
                  <c:v>1339700</c:v>
                </c:pt>
                <c:pt idx="14">
                  <c:v>7875</c:v>
                </c:pt>
              </c:numCache>
            </c:numRef>
          </c:xVal>
          <c:yVal>
            <c:numRef>
              <c:f>all_data_set_unified_file!$AV$78:$AV$92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FF1-9C26-876F5F4F1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</a:t>
            </a:r>
            <a:r>
              <a:rPr lang="lv-LV" b="1"/>
              <a:t>(only single char runs)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all_data_set_unified_file!$AB$4:$AB$24</c:f>
              <c:numCache>
                <c:formatCode>General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66</c:v>
                </c:pt>
                <c:pt idx="3">
                  <c:v>55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66</c:v>
                </c:pt>
                <c:pt idx="8">
                  <c:v>187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5-4A17-9A4C-0CEF3EF3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all_data_set_unified_file!$AD$4:$AD$24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5-4A17-9A4C-0CEF3EF3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all_data_set_unified_file!$AB$26:$AB$41</c:f>
              <c:numCache>
                <c:formatCode>General</c:formatCode>
                <c:ptCount val="16"/>
                <c:pt idx="0">
                  <c:v>294</c:v>
                </c:pt>
                <c:pt idx="1">
                  <c:v>316</c:v>
                </c:pt>
                <c:pt idx="2">
                  <c:v>297</c:v>
                </c:pt>
                <c:pt idx="3">
                  <c:v>254</c:v>
                </c:pt>
                <c:pt idx="4">
                  <c:v>251</c:v>
                </c:pt>
                <c:pt idx="5">
                  <c:v>251</c:v>
                </c:pt>
                <c:pt idx="6">
                  <c:v>307</c:v>
                </c:pt>
                <c:pt idx="7">
                  <c:v>438</c:v>
                </c:pt>
                <c:pt idx="8">
                  <c:v>257</c:v>
                </c:pt>
                <c:pt idx="9">
                  <c:v>236</c:v>
                </c:pt>
                <c:pt idx="10">
                  <c:v>257</c:v>
                </c:pt>
                <c:pt idx="11">
                  <c:v>236</c:v>
                </c:pt>
                <c:pt idx="12">
                  <c:v>237</c:v>
                </c:pt>
                <c:pt idx="13">
                  <c:v>287</c:v>
                </c:pt>
                <c:pt idx="14">
                  <c:v>239</c:v>
                </c:pt>
                <c:pt idx="1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C-42EA-84B5-B728AADF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all_data_set_unified_file!$AD$26:$AD$41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C-42EA-84B5-B728AADF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all_data_set_unified_file!$AB$43:$AB$60</c:f>
              <c:numCache>
                <c:formatCode>General</c:formatCode>
                <c:ptCount val="18"/>
                <c:pt idx="0">
                  <c:v>226</c:v>
                </c:pt>
                <c:pt idx="1">
                  <c:v>176</c:v>
                </c:pt>
                <c:pt idx="2">
                  <c:v>242</c:v>
                </c:pt>
                <c:pt idx="3">
                  <c:v>231</c:v>
                </c:pt>
                <c:pt idx="4">
                  <c:v>192</c:v>
                </c:pt>
                <c:pt idx="5">
                  <c:v>183</c:v>
                </c:pt>
                <c:pt idx="6">
                  <c:v>188</c:v>
                </c:pt>
                <c:pt idx="7">
                  <c:v>240</c:v>
                </c:pt>
                <c:pt idx="8">
                  <c:v>363</c:v>
                </c:pt>
                <c:pt idx="9">
                  <c:v>176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215</c:v>
                </c:pt>
                <c:pt idx="16">
                  <c:v>176</c:v>
                </c:pt>
                <c:pt idx="1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F-4985-B227-D4171F5C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all_data_set_unified_file!$AD$43:$AD$60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F-4985-B227-D4171F5C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all_data_set_unified_file!$AB$78:$AB$92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7</c:v>
                </c:pt>
                <c:pt idx="4">
                  <c:v>12</c:v>
                </c:pt>
                <c:pt idx="5">
                  <c:v>66</c:v>
                </c:pt>
                <c:pt idx="6">
                  <c:v>187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D-42DC-B5C9-0A8B7AEF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all_data_set_unified_file!$AD$78:$AD$92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1D-42DC-B5C9-0A8B7AEF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char to non-ASCII char ratio</a:t>
            </a:r>
            <a:r>
              <a:rPr lang="lv-LV" b="1"/>
              <a:t> (Char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all_data_set_unified_file!$AT$4:$AT$24</c:f>
              <c:numCache>
                <c:formatCode>General</c:formatCode>
                <c:ptCount val="21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0</c:v>
                </c:pt>
                <c:pt idx="15">
                  <c:v>7239</c:v>
                </c:pt>
                <c:pt idx="16">
                  <c:v>6656</c:v>
                </c:pt>
                <c:pt idx="17">
                  <c:v>0</c:v>
                </c:pt>
                <c:pt idx="18">
                  <c:v>0</c:v>
                </c:pt>
                <c:pt idx="19">
                  <c:v>1339700</c:v>
                </c:pt>
                <c:pt idx="20">
                  <c:v>7875</c:v>
                </c:pt>
              </c:numCache>
            </c:numRef>
          </c:xVal>
          <c:yVal>
            <c:numRef>
              <c:f>all_data_set_unified_file!$AV$4:$AV$24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08-4642-8747-10EFD1576152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all_data_set_unified_file!$AT$26:$AT$41</c:f>
              <c:numCache>
                <c:formatCode>General</c:formatCode>
                <c:ptCount val="16"/>
                <c:pt idx="0">
                  <c:v>13966</c:v>
                </c:pt>
                <c:pt idx="1">
                  <c:v>5562</c:v>
                </c:pt>
                <c:pt idx="2">
                  <c:v>37373</c:v>
                </c:pt>
                <c:pt idx="3">
                  <c:v>4488</c:v>
                </c:pt>
                <c:pt idx="4">
                  <c:v>4848</c:v>
                </c:pt>
                <c:pt idx="5">
                  <c:v>10358</c:v>
                </c:pt>
                <c:pt idx="6">
                  <c:v>5155</c:v>
                </c:pt>
                <c:pt idx="7">
                  <c:v>73799</c:v>
                </c:pt>
                <c:pt idx="8">
                  <c:v>15827</c:v>
                </c:pt>
                <c:pt idx="9">
                  <c:v>180081</c:v>
                </c:pt>
                <c:pt idx="10">
                  <c:v>14517</c:v>
                </c:pt>
                <c:pt idx="11">
                  <c:v>286817</c:v>
                </c:pt>
                <c:pt idx="12">
                  <c:v>7711</c:v>
                </c:pt>
                <c:pt idx="13">
                  <c:v>7128</c:v>
                </c:pt>
                <c:pt idx="14">
                  <c:v>1340172</c:v>
                </c:pt>
                <c:pt idx="15">
                  <c:v>8347</c:v>
                </c:pt>
              </c:numCache>
            </c:numRef>
          </c:xVal>
          <c:yVal>
            <c:numRef>
              <c:f>all_data_set_unified_file!$AV$26:$AV$41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7-4225-9348-1616684BFCE3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all_data_set_unified_file!$AT$43:$AT$60</c:f>
              <c:numCache>
                <c:formatCode>General</c:formatCode>
                <c:ptCount val="18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7239</c:v>
                </c:pt>
                <c:pt idx="15">
                  <c:v>6656</c:v>
                </c:pt>
                <c:pt idx="16">
                  <c:v>1339700</c:v>
                </c:pt>
                <c:pt idx="17">
                  <c:v>7875</c:v>
                </c:pt>
              </c:numCache>
            </c:numRef>
          </c:xVal>
          <c:yVal>
            <c:numRef>
              <c:f>all_data_set_unified_file!$AV$43:$AV$60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7-4225-9348-1616684BFCE3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all_data_set_unified_file!$AT$62:$AT$76</c:f>
              <c:numCache>
                <c:formatCode>General</c:formatCode>
                <c:ptCount val="15"/>
                <c:pt idx="0">
                  <c:v>13838</c:v>
                </c:pt>
                <c:pt idx="1">
                  <c:v>5434</c:v>
                </c:pt>
                <c:pt idx="2">
                  <c:v>37245</c:v>
                </c:pt>
                <c:pt idx="3">
                  <c:v>4360</c:v>
                </c:pt>
                <c:pt idx="4">
                  <c:v>4720</c:v>
                </c:pt>
                <c:pt idx="5">
                  <c:v>10230</c:v>
                </c:pt>
                <c:pt idx="6">
                  <c:v>5027</c:v>
                </c:pt>
                <c:pt idx="7">
                  <c:v>73671</c:v>
                </c:pt>
                <c:pt idx="8">
                  <c:v>15699</c:v>
                </c:pt>
                <c:pt idx="9">
                  <c:v>179953</c:v>
                </c:pt>
                <c:pt idx="10">
                  <c:v>14389</c:v>
                </c:pt>
                <c:pt idx="11">
                  <c:v>286689</c:v>
                </c:pt>
                <c:pt idx="12">
                  <c:v>7583</c:v>
                </c:pt>
                <c:pt idx="13">
                  <c:v>7000</c:v>
                </c:pt>
                <c:pt idx="14">
                  <c:v>8219</c:v>
                </c:pt>
              </c:numCache>
            </c:numRef>
          </c:xVal>
          <c:yVal>
            <c:numRef>
              <c:f>all_data_set_unified_file!$AV$62:$AV$76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8-4642-8747-10EFD1576152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all_data_set_unified_file!$AT$78:$AT$92</c:f>
              <c:numCache>
                <c:formatCode>General</c:formatCode>
                <c:ptCount val="15"/>
                <c:pt idx="0">
                  <c:v>13494</c:v>
                </c:pt>
                <c:pt idx="1">
                  <c:v>5090</c:v>
                </c:pt>
                <c:pt idx="2">
                  <c:v>36901</c:v>
                </c:pt>
                <c:pt idx="3">
                  <c:v>4376</c:v>
                </c:pt>
                <c:pt idx="4">
                  <c:v>9886</c:v>
                </c:pt>
                <c:pt idx="5">
                  <c:v>4683</c:v>
                </c:pt>
                <c:pt idx="6">
                  <c:v>73327</c:v>
                </c:pt>
                <c:pt idx="7">
                  <c:v>15355</c:v>
                </c:pt>
                <c:pt idx="8">
                  <c:v>179609</c:v>
                </c:pt>
                <c:pt idx="9">
                  <c:v>14045</c:v>
                </c:pt>
                <c:pt idx="10">
                  <c:v>286345</c:v>
                </c:pt>
                <c:pt idx="11">
                  <c:v>7239</c:v>
                </c:pt>
                <c:pt idx="12">
                  <c:v>6656</c:v>
                </c:pt>
                <c:pt idx="13">
                  <c:v>1339700</c:v>
                </c:pt>
                <c:pt idx="14">
                  <c:v>7875</c:v>
                </c:pt>
              </c:numCache>
            </c:numRef>
          </c:xVal>
          <c:yVal>
            <c:numRef>
              <c:f>all_data_set_unified_file!$AV$78:$AV$92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08-4642-8747-10EFD157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1</a:t>
            </a:r>
            <a:r>
              <a:rPr lang="lv-LV" b="1" baseline="0"/>
              <a:t> pt Font size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C-47F6-AA9E-C4C2179ECEC8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CC-47F6-AA9E-C4C2179ECEC8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CC-47F6-AA9E-C4C2179ECEC8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CC-47F6-AA9E-C4C2179ECEC8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CC-47F6-AA9E-C4C2179EC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pt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White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all_data_set_unified_file!$Z$4:$Z$24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F-4EAE-8C35-8C43ACF32D3C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all_data_set_unified_file!$Z$26:$Z$41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F-4EAE-8C35-8C43ACF32D3C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all_data_set_unified_file!$Z$43:$Z$60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F-4EAE-8C35-8C43ACF32D3C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all_data_set_unified_file!$Z$62:$Z$76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F-4EAE-8C35-8C43ACF32D3C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all_data_set_unified_file!$Z$78:$Z$92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F-4EAE-8C35-8C43ACF3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White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Non-Black, non-white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all_data_set_unified_file!$AA$4:$AA$24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A-4094-A5CE-759D3B55CE59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all_data_set_unified_file!$AA$26:$AA$41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A-4094-A5CE-759D3B55CE59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all_data_set_unified_file!$AA$43:$AA$60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A-4094-A5CE-759D3B55CE59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all_data_set_unified_file!$AA$62:$AA$76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9A-4094-A5CE-759D3B55CE59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all_data_set_unified_file!$AA$78:$AA$92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A-4094-A5CE-759D3B55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Non-Black, non-white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non-whitespace char run element </a:t>
            </a:r>
            <a:r>
              <a:rPr lang="lv-LV"/>
              <a:t>ratio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all_data_set_unified_file!$AD$4:$AD$24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8-402B-810D-F70B88DCB38B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all_data_set_unified_file!$AD$26:$AD$41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8-402B-810D-F70B88DCB38B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all_data_set_unified_file!$AD$43:$AD$60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28-402B-810D-F70B88DCB38B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all_data_set_unified_file!$AD$62:$AD$76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28-402B-810D-F70B88DCB38B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all_data_set_unified_file!$AD$78:$AD$92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28-402B-810D-F70B88DC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Single non-whitespace char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Word to Whitespace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all_data_set_unified_file!$AS$4:$AS$24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8-4744-A9F1-9DB41A90B777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all_data_set_unified_file!$AS$26:$AS$41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8-4744-A9F1-9DB41A90B777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all_data_set_unified_file!$AS$43:$AS$60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08-4744-A9F1-9DB41A90B777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all_data_set_unified_file!$AS$62:$AS$76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08-4744-A9F1-9DB41A90B777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all_data_set_unified_file!$AS$78:$AS$92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8-4744-A9F1-9DB41A90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Word to Whitespace ratio</a:t>
            </a:r>
            <a:r>
              <a:rPr lang="lv-LV" b="1"/>
              <a:t> (Word</a:t>
            </a:r>
            <a:r>
              <a:rPr lang="lv-LV" b="1" baseline="0"/>
              <a:t> count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all_data_set_unified_file!$AQ$4:$AQ$24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xVal>
          <c:yVal>
            <c:numRef>
              <c:f>all_data_set_unified_file!$AS$4:$AS$24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C-4FC2-B725-0332BDC7AC71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all_data_set_unified_file!$AQ$26:$AQ$41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xVal>
          <c:yVal>
            <c:numRef>
              <c:f>all_data_set_unified_file!$AS$26:$AS$41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B-4297-8256-1D7BC74B386A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all_data_set_unified_file!$AQ$43:$AQ$60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xVal>
          <c:yVal>
            <c:numRef>
              <c:f>all_data_set_unified_file!$AS$43:$AS$60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FB-4297-8256-1D7BC74B386A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all_data_set_unified_file!$AQ$62:$AQ$76</c:f>
              <c:numCache>
                <c:formatCode>General</c:formatCode>
                <c:ptCount val="15"/>
                <c:pt idx="0">
                  <c:v>2048</c:v>
                </c:pt>
                <c:pt idx="1">
                  <c:v>742</c:v>
                </c:pt>
                <c:pt idx="2">
                  <c:v>5528</c:v>
                </c:pt>
                <c:pt idx="3">
                  <c:v>542</c:v>
                </c:pt>
                <c:pt idx="4">
                  <c:v>718</c:v>
                </c:pt>
                <c:pt idx="5">
                  <c:v>1611</c:v>
                </c:pt>
                <c:pt idx="6">
                  <c:v>728</c:v>
                </c:pt>
                <c:pt idx="7">
                  <c:v>10751</c:v>
                </c:pt>
                <c:pt idx="8">
                  <c:v>3088</c:v>
                </c:pt>
                <c:pt idx="9">
                  <c:v>35944</c:v>
                </c:pt>
                <c:pt idx="10">
                  <c:v>2938</c:v>
                </c:pt>
                <c:pt idx="11">
                  <c:v>57085</c:v>
                </c:pt>
                <c:pt idx="12">
                  <c:v>1008</c:v>
                </c:pt>
                <c:pt idx="13">
                  <c:v>1075</c:v>
                </c:pt>
                <c:pt idx="14">
                  <c:v>1335</c:v>
                </c:pt>
              </c:numCache>
            </c:numRef>
          </c:xVal>
          <c:yVal>
            <c:numRef>
              <c:f>all_data_set_unified_file!$AS$62:$AS$76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CC-4FC2-B725-0332BDC7AC71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all_data_set_unified_file!$AQ$78:$AQ$92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xVal>
          <c:yVal>
            <c:numRef>
              <c:f>all_data_set_unified_file!$AS$78:$AS$92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C-4FC2-B725-0332BDC7A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1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7-42CA-9F59-82D32E2A1834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7-42CA-9F59-82D32E2A1834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67-42CA-9F59-82D32E2A1834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67-42CA-9F59-82D32E2A1834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67-42CA-9F59-82D32E2A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White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all_data_set_unified_file!$Z$4:$Z$24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F-4548-BE43-1B1C65A7A742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all_data_set_unified_file!$Z$26:$Z$41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F-4548-BE43-1B1C65A7A742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all_data_set_unified_file!$Z$43:$Z$60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EF-4548-BE43-1B1C65A7A742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all_data_set_unified_file!$Z$62:$Z$76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EF-4548-BE43-1B1C65A7A742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all_data_set_unified_file!$Z$78:$Z$92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F-4548-BE43-1B1C65A7A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White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Non-black,</a:t>
            </a:r>
            <a:r>
              <a:rPr lang="lv-LV" baseline="0"/>
              <a:t> non-white</a:t>
            </a:r>
            <a:r>
              <a:rPr lang="lv-LV"/>
              <a:t>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all_data_set_unified_file!$AA$4:$AA$24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C-447F-B1CE-E752274AFCE5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all_data_set_unified_file!$AA$26:$AA$41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C-447F-B1CE-E752274AFCE5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all_data_set_unified_file!$AA$43:$AA$60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C-447F-B1CE-E752274AFCE5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all_data_set_unified_file!$AA$62:$AA$76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7C-447F-B1CE-E752274AFCE5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all_data_set_unified_file!$AA$78:$AA$92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7C-447F-B1CE-E752274AF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Non-black, non-white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Black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all_data_set_unified_file!$Y$4:$Y$24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B-4305-86D8-D1B5DE3E1710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all_data_set_unified_file!$Y$26:$Y$41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B-4305-86D8-D1B5DE3E1710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all_data_set_unified_file!$Y$43:$Y$60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B-4305-86D8-D1B5DE3E1710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all_data_set_unified_file!$Y$62:$Y$76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2B-4305-86D8-D1B5DE3E1710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all_data_set_unified_file!$Y$78:$Y$92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B-4305-86D8-D1B5DE3E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Black</a:t>
                </a:r>
                <a:r>
                  <a:rPr lang="en-US"/>
                  <a:t>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Black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all_data_set_unified_file!$I$4:$I$24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all_data_set_unified_file!$Y$4:$Y$24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3-49B4-9821-09EB154D761A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all_data_set_unified_file!$I$26:$I$41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all_data_set_unified_file!$Y$26:$Y$41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3-49B4-9821-09EB154D761A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all_data_set_unified_file!$I$43:$I$60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all_data_set_unified_file!$Y$43:$Y$60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23-49B4-9821-09EB154D761A}"/>
            </c:ext>
          </c:extLst>
        </c:ser>
        <c:ser>
          <c:idx val="1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all_data_set_unified_file!$Y$62:$Y$76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23-49B4-9821-09EB154D761A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all_data_set_unified_file!$I$78:$I$92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all_data_set_unified_file!$Y$78:$Y$92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23-49B4-9821-09EB154D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Black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pt Font size run element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6-4B22-A791-441BED4EF220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56-4B22-A791-441BED4EF220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56-4B22-A791-441BED4EF220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56-4B22-A791-441BED4EF220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56-4B22-A791-441BED4EF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pt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(clean)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all_data_set_unified_file!$AM$4:$AM$24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B-4566-B4C8-1D1181561FD8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all_data_set_unified_file!$AN$4:$AN$24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B-4566-B4C8-1D1181561FD8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all_data_set_unified_file!$AO$4:$AO$24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</c:v>
                </c:pt>
                <c:pt idx="4">
                  <c:v>0</c:v>
                </c:pt>
                <c:pt idx="5">
                  <c:v>3.19</c:v>
                </c:pt>
                <c:pt idx="6">
                  <c:v>0</c:v>
                </c:pt>
                <c:pt idx="7">
                  <c:v>0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B-4566-B4C8-1D1181561FD8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all_data_set_unified_file!$AP$4:$AP$24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4.21</c:v>
                </c:pt>
                <c:pt idx="4">
                  <c:v>20</c:v>
                </c:pt>
                <c:pt idx="5">
                  <c:v>4.26</c:v>
                </c:pt>
                <c:pt idx="6">
                  <c:v>6.86</c:v>
                </c:pt>
                <c:pt idx="7">
                  <c:v>40.24</c:v>
                </c:pt>
                <c:pt idx="8">
                  <c:v>9.3000000000000007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B-4566-B4C8-1D1181561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hide in text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all_data_set_unified_file!$AM$26:$AM$41</c:f>
              <c:numCache>
                <c:formatCode>General</c:formatCode>
                <c:ptCount val="16"/>
                <c:pt idx="0">
                  <c:v>9.25</c:v>
                </c:pt>
                <c:pt idx="1">
                  <c:v>9.81</c:v>
                </c:pt>
                <c:pt idx="2">
                  <c:v>6.79</c:v>
                </c:pt>
                <c:pt idx="3">
                  <c:v>10.94</c:v>
                </c:pt>
                <c:pt idx="4">
                  <c:v>10.79</c:v>
                </c:pt>
                <c:pt idx="5">
                  <c:v>10.01</c:v>
                </c:pt>
                <c:pt idx="6">
                  <c:v>10.199999999999999</c:v>
                </c:pt>
                <c:pt idx="7">
                  <c:v>3.97</c:v>
                </c:pt>
                <c:pt idx="8">
                  <c:v>2.95</c:v>
                </c:pt>
                <c:pt idx="9">
                  <c:v>0.31</c:v>
                </c:pt>
                <c:pt idx="10">
                  <c:v>2.93</c:v>
                </c:pt>
                <c:pt idx="11">
                  <c:v>0.19</c:v>
                </c:pt>
                <c:pt idx="12">
                  <c:v>10.61</c:v>
                </c:pt>
                <c:pt idx="13">
                  <c:v>9.85</c:v>
                </c:pt>
                <c:pt idx="14">
                  <c:v>0.23</c:v>
                </c:pt>
                <c:pt idx="15">
                  <c:v>11.53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2-4D97-8979-55D01AFDC310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all_data_set_unified_file!$AN$26:$AN$41</c:f>
              <c:numCache>
                <c:formatCode>General</c:formatCode>
                <c:ptCount val="16"/>
                <c:pt idx="0">
                  <c:v>8.09</c:v>
                </c:pt>
                <c:pt idx="1">
                  <c:v>8.67</c:v>
                </c:pt>
                <c:pt idx="2">
                  <c:v>6.01</c:v>
                </c:pt>
                <c:pt idx="3">
                  <c:v>9.2799999999999994</c:v>
                </c:pt>
                <c:pt idx="4">
                  <c:v>9.5399999999999991</c:v>
                </c:pt>
                <c:pt idx="5">
                  <c:v>8.67</c:v>
                </c:pt>
                <c:pt idx="6">
                  <c:v>8.94</c:v>
                </c:pt>
                <c:pt idx="7">
                  <c:v>3.51</c:v>
                </c:pt>
                <c:pt idx="8">
                  <c:v>2.5099999999999998</c:v>
                </c:pt>
                <c:pt idx="9">
                  <c:v>0.26</c:v>
                </c:pt>
                <c:pt idx="10">
                  <c:v>2.48</c:v>
                </c:pt>
                <c:pt idx="11">
                  <c:v>0.16</c:v>
                </c:pt>
                <c:pt idx="12">
                  <c:v>9.09</c:v>
                </c:pt>
                <c:pt idx="13">
                  <c:v>8.3000000000000007</c:v>
                </c:pt>
                <c:pt idx="14">
                  <c:v>0.19</c:v>
                </c:pt>
                <c:pt idx="15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2-4D97-8979-55D01AFDC310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all_data_set_unified_file!$AO$26:$AO$41</c:f>
              <c:numCache>
                <c:formatCode>General</c:formatCode>
                <c:ptCount val="16"/>
                <c:pt idx="0">
                  <c:v>2.64</c:v>
                </c:pt>
                <c:pt idx="1">
                  <c:v>2.71</c:v>
                </c:pt>
                <c:pt idx="2">
                  <c:v>2.98</c:v>
                </c:pt>
                <c:pt idx="3">
                  <c:v>2.93</c:v>
                </c:pt>
                <c:pt idx="4">
                  <c:v>3.08</c:v>
                </c:pt>
                <c:pt idx="5">
                  <c:v>2.59</c:v>
                </c:pt>
                <c:pt idx="6">
                  <c:v>2.5299999999999998</c:v>
                </c:pt>
                <c:pt idx="7">
                  <c:v>1.33</c:v>
                </c:pt>
                <c:pt idx="8">
                  <c:v>1.29</c:v>
                </c:pt>
                <c:pt idx="9">
                  <c:v>0.08</c:v>
                </c:pt>
                <c:pt idx="10">
                  <c:v>1.28</c:v>
                </c:pt>
                <c:pt idx="11">
                  <c:v>0.05</c:v>
                </c:pt>
                <c:pt idx="12">
                  <c:v>2.65</c:v>
                </c:pt>
                <c:pt idx="13">
                  <c:v>2.59</c:v>
                </c:pt>
                <c:pt idx="14">
                  <c:v>0.06</c:v>
                </c:pt>
                <c:pt idx="15">
                  <c:v>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2-4D97-8979-55D01AFDC310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all_data_set_unified_file!$AP$26:$AP$41</c:f>
              <c:numCache>
                <c:formatCode>General</c:formatCode>
                <c:ptCount val="16"/>
                <c:pt idx="0">
                  <c:v>4.29</c:v>
                </c:pt>
                <c:pt idx="1">
                  <c:v>6.48</c:v>
                </c:pt>
                <c:pt idx="2">
                  <c:v>1.9</c:v>
                </c:pt>
                <c:pt idx="3">
                  <c:v>1.66</c:v>
                </c:pt>
                <c:pt idx="4">
                  <c:v>0.77</c:v>
                </c:pt>
                <c:pt idx="5">
                  <c:v>1.1599999999999999</c:v>
                </c:pt>
                <c:pt idx="6">
                  <c:v>6.05</c:v>
                </c:pt>
                <c:pt idx="7">
                  <c:v>6.57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0.09</c:v>
                </c:pt>
                <c:pt idx="13">
                  <c:v>4.0599999999999996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2-4D97-8979-55D01AFD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modify RGB color channels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all_data_set_unified_file!$AM$43:$AM$60</c:f>
              <c:numCache>
                <c:formatCode>General</c:formatCode>
                <c:ptCount val="18"/>
                <c:pt idx="0">
                  <c:v>0.42</c:v>
                </c:pt>
                <c:pt idx="1">
                  <c:v>3.57</c:v>
                </c:pt>
                <c:pt idx="2">
                  <c:v>3.69</c:v>
                </c:pt>
                <c:pt idx="3">
                  <c:v>0.43</c:v>
                </c:pt>
                <c:pt idx="4">
                  <c:v>11.46</c:v>
                </c:pt>
                <c:pt idx="5">
                  <c:v>3</c:v>
                </c:pt>
                <c:pt idx="6">
                  <c:v>0.53</c:v>
                </c:pt>
                <c:pt idx="7">
                  <c:v>1.91</c:v>
                </c:pt>
                <c:pt idx="8">
                  <c:v>0.09</c:v>
                </c:pt>
                <c:pt idx="9">
                  <c:v>0.13</c:v>
                </c:pt>
                <c:pt idx="10">
                  <c:v>0.12</c:v>
                </c:pt>
                <c:pt idx="11">
                  <c:v>0.23</c:v>
                </c:pt>
                <c:pt idx="12">
                  <c:v>0.08</c:v>
                </c:pt>
                <c:pt idx="13">
                  <c:v>3.7</c:v>
                </c:pt>
                <c:pt idx="14">
                  <c:v>2.56</c:v>
                </c:pt>
                <c:pt idx="15">
                  <c:v>5.25</c:v>
                </c:pt>
                <c:pt idx="16">
                  <c:v>0.03</c:v>
                </c:pt>
                <c:pt idx="17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A-4A7B-A905-E4C2241850B0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all_data_set_unified_file!$AN$43:$AN$60</c:f>
              <c:numCache>
                <c:formatCode>General</c:formatCode>
                <c:ptCount val="18"/>
                <c:pt idx="0">
                  <c:v>36.31</c:v>
                </c:pt>
                <c:pt idx="1">
                  <c:v>73.209999999999994</c:v>
                </c:pt>
                <c:pt idx="2">
                  <c:v>26.04</c:v>
                </c:pt>
                <c:pt idx="3">
                  <c:v>17.43</c:v>
                </c:pt>
                <c:pt idx="4">
                  <c:v>38.19</c:v>
                </c:pt>
                <c:pt idx="5">
                  <c:v>53.67</c:v>
                </c:pt>
                <c:pt idx="6">
                  <c:v>44.47</c:v>
                </c:pt>
                <c:pt idx="7">
                  <c:v>43.32</c:v>
                </c:pt>
                <c:pt idx="8">
                  <c:v>8.16</c:v>
                </c:pt>
                <c:pt idx="9">
                  <c:v>1.1599999999999999</c:v>
                </c:pt>
                <c:pt idx="10">
                  <c:v>0.37</c:v>
                </c:pt>
                <c:pt idx="11">
                  <c:v>1.57</c:v>
                </c:pt>
                <c:pt idx="12">
                  <c:v>0.23</c:v>
                </c:pt>
                <c:pt idx="13">
                  <c:v>65.739999999999995</c:v>
                </c:pt>
                <c:pt idx="14">
                  <c:v>52.72</c:v>
                </c:pt>
                <c:pt idx="15">
                  <c:v>35.32</c:v>
                </c:pt>
                <c:pt idx="16">
                  <c:v>0.24</c:v>
                </c:pt>
                <c:pt idx="17">
                  <c:v>72.03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A-4A7B-A905-E4C2241850B0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all_data_set_unified_file!$AO$43:$AO$60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7.62</c:v>
                </c:pt>
                <c:pt idx="3">
                  <c:v>2.5499999999999998</c:v>
                </c:pt>
                <c:pt idx="4">
                  <c:v>5.9</c:v>
                </c:pt>
                <c:pt idx="5">
                  <c:v>1.33</c:v>
                </c:pt>
                <c:pt idx="6">
                  <c:v>0.26</c:v>
                </c:pt>
                <c:pt idx="7">
                  <c:v>0</c:v>
                </c:pt>
                <c:pt idx="8">
                  <c:v>0.47</c:v>
                </c:pt>
                <c:pt idx="9">
                  <c:v>3.37</c:v>
                </c:pt>
                <c:pt idx="10">
                  <c:v>0</c:v>
                </c:pt>
                <c:pt idx="11">
                  <c:v>3.1</c:v>
                </c:pt>
                <c:pt idx="12">
                  <c:v>0</c:v>
                </c:pt>
                <c:pt idx="13">
                  <c:v>7.41</c:v>
                </c:pt>
                <c:pt idx="14">
                  <c:v>0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A-4A7B-A905-E4C2241850B0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all_data_set_unified_file!$AP$43:$AP$60</c:f>
              <c:numCache>
                <c:formatCode>General</c:formatCode>
                <c:ptCount val="18"/>
                <c:pt idx="0">
                  <c:v>11.25</c:v>
                </c:pt>
                <c:pt idx="1">
                  <c:v>1.79</c:v>
                </c:pt>
                <c:pt idx="2">
                  <c:v>22.11</c:v>
                </c:pt>
                <c:pt idx="3">
                  <c:v>4.1399999999999997</c:v>
                </c:pt>
                <c:pt idx="4">
                  <c:v>11.11</c:v>
                </c:pt>
                <c:pt idx="5">
                  <c:v>3</c:v>
                </c:pt>
                <c:pt idx="6">
                  <c:v>4.21</c:v>
                </c:pt>
                <c:pt idx="7">
                  <c:v>20.16</c:v>
                </c:pt>
                <c:pt idx="8">
                  <c:v>8.49</c:v>
                </c:pt>
                <c:pt idx="9">
                  <c:v>1.1599999999999999</c:v>
                </c:pt>
                <c:pt idx="10">
                  <c:v>0</c:v>
                </c:pt>
                <c:pt idx="11">
                  <c:v>0.85</c:v>
                </c:pt>
                <c:pt idx="12">
                  <c:v>0</c:v>
                </c:pt>
                <c:pt idx="13">
                  <c:v>4.63</c:v>
                </c:pt>
                <c:pt idx="14">
                  <c:v>0.96</c:v>
                </c:pt>
                <c:pt idx="15">
                  <c:v>10.74</c:v>
                </c:pt>
                <c:pt idx="16">
                  <c:v>0.02</c:v>
                </c:pt>
                <c:pt idx="17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1A-4A7B-A905-E4C22418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unicode_homoglyphs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all_data_set_unified_file!$AM$78:$AM$92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1-4004-830F-0F79952E8E8F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all_data_set_unified_file!$AN$78:$AN$92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1-4004-830F-0F79952E8E8F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all_data_set_unified_file!$AO$78:$AO$92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3.19</c:v>
                </c:pt>
                <c:pt idx="4">
                  <c:v>0</c:v>
                </c:pt>
                <c:pt idx="5">
                  <c:v>0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1-4004-830F-0F79952E8E8F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all_data_set_unified_file!$AP$78:$AP$92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4.26</c:v>
                </c:pt>
                <c:pt idx="4">
                  <c:v>6.86</c:v>
                </c:pt>
                <c:pt idx="5">
                  <c:v>40.24</c:v>
                </c:pt>
                <c:pt idx="6">
                  <c:v>9.3000000000000007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1-4004-830F-0F79952E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 Count analysis (unispace)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all_data_set_unified_file!$H$2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all_data_set_unified_file!$H$62:$H$76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4-45EF-92BD-3E1AA2F3A1B7}"/>
            </c:ext>
          </c:extLst>
        </c:ser>
        <c:ser>
          <c:idx val="1"/>
          <c:order val="1"/>
          <c:tx>
            <c:strRef>
              <c:f>all_data_set_unified_file!$I$2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all_data_set_unified_file!$I$62:$I$76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4-45EF-92BD-3E1AA2F3A1B7}"/>
            </c:ext>
          </c:extLst>
        </c:ser>
        <c:ser>
          <c:idx val="0"/>
          <c:order val="3"/>
          <c:tx>
            <c:strRef>
              <c:f>all_data_set_unified_file!$K$2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all_data_set_unified_file!$K$62:$K$76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64</c:v>
                </c:pt>
                <c:pt idx="4">
                  <c:v>90</c:v>
                </c:pt>
                <c:pt idx="5">
                  <c:v>163</c:v>
                </c:pt>
                <c:pt idx="6">
                  <c:v>113</c:v>
                </c:pt>
                <c:pt idx="7">
                  <c:v>1734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140</c:v>
                </c:pt>
                <c:pt idx="13">
                  <c:v>176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4-45EF-92BD-3E1AA2F3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3"/>
          <c:order val="2"/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marker>
            <c:symbol val="none"/>
          </c:marker>
          <c:val>
            <c:numRef>
              <c:f>all_data_set_unified_file!$J$62:$J$76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2-49CB-B894-92196EE5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747920"/>
        <c:axId val="113877492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all_data_set_unified_file!$H$1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1138774920"/>
        <c:scaling>
          <c:orientation val="minMax"/>
          <c:max val="4000"/>
          <c:min val="100"/>
        </c:scaling>
        <c:delete val="0"/>
        <c:axPos val="r"/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138747920"/>
        <c:crosses val="max"/>
        <c:crossBetween val="between"/>
      </c:valAx>
      <c:catAx>
        <c:axId val="1138747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13877492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Font sizes analysis (unispace)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all_data_set_unified_file!$Q$3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all_data_set_unified_file!$Q$62:$Q$76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1.83</c:v>
                </c:pt>
                <c:pt idx="7">
                  <c:v>0.95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F-46F1-86F0-5924AA5DE0FE}"/>
            </c:ext>
          </c:extLst>
        </c:ser>
        <c:ser>
          <c:idx val="1"/>
          <c:order val="1"/>
          <c:tx>
            <c:strRef>
              <c:f>all_data_set_unified_file!$R$3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all_data_set_unified_file!$R$62:$R$76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80</c:v>
                </c:pt>
                <c:pt idx="4">
                  <c:v>0</c:v>
                </c:pt>
                <c:pt idx="5">
                  <c:v>86.86</c:v>
                </c:pt>
                <c:pt idx="6">
                  <c:v>11.59</c:v>
                </c:pt>
                <c:pt idx="7">
                  <c:v>1.1599999999999999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F-46F1-86F0-5924AA5DE0FE}"/>
            </c:ext>
          </c:extLst>
        </c:ser>
        <c:ser>
          <c:idx val="2"/>
          <c:order val="2"/>
          <c:tx>
            <c:strRef>
              <c:f>all_data_set_unified_file!$S$3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all_data_set_unified_file!$S$62:$S$76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20</c:v>
                </c:pt>
                <c:pt idx="4">
                  <c:v>85.11</c:v>
                </c:pt>
                <c:pt idx="5">
                  <c:v>12</c:v>
                </c:pt>
                <c:pt idx="6">
                  <c:v>86.59</c:v>
                </c:pt>
                <c:pt idx="7">
                  <c:v>79.239999999999995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18.309999999999999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8F-46F1-86F0-5924AA5DE0FE}"/>
            </c:ext>
          </c:extLst>
        </c:ser>
        <c:ser>
          <c:idx val="3"/>
          <c:order val="3"/>
          <c:tx>
            <c:strRef>
              <c:f>all_data_set_unified_file!$T$3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all_data_set_unified_file!$T$62:$T$76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0</c:v>
                </c:pt>
                <c:pt idx="4">
                  <c:v>14.89</c:v>
                </c:pt>
                <c:pt idx="5">
                  <c:v>1.1399999999999999</c:v>
                </c:pt>
                <c:pt idx="6">
                  <c:v>0</c:v>
                </c:pt>
                <c:pt idx="7">
                  <c:v>18.649999999999999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79.81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8F-46F1-86F0-5924AA5DE0FE}"/>
            </c:ext>
          </c:extLst>
        </c:ser>
        <c:ser>
          <c:idx val="4"/>
          <c:order val="4"/>
          <c:tx>
            <c:strRef>
              <c:f>all_data_set_unified_file!$U$3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8F-46F1-86F0-5924AA5D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(unispace)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all_data_set_unified_file!$Y$3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all_data_set_unified_file!$Y$62:$Y$76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9-4F12-B3D9-18596466A8B4}"/>
            </c:ext>
          </c:extLst>
        </c:ser>
        <c:ser>
          <c:idx val="1"/>
          <c:order val="1"/>
          <c:tx>
            <c:strRef>
              <c:f>all_data_set_unified_file!$Z$3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all_data_set_unified_file!$Z$62:$Z$76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9-4F12-B3D9-18596466A8B4}"/>
            </c:ext>
          </c:extLst>
        </c:ser>
        <c:ser>
          <c:idx val="2"/>
          <c:order val="2"/>
          <c:tx>
            <c:strRef>
              <c:f>all_data_set_unified_file!$AA$3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all_data_set_unified_file!$AA$62:$AA$76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9-4F12-B3D9-18596466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(unispace)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all_data_set_unified_file!$AB$62:$AB$76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  <c:pt idx="6">
                  <c:v>66</c:v>
                </c:pt>
                <c:pt idx="7">
                  <c:v>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2-4E60-8188-A61F4F8CC3CC}"/>
            </c:ext>
          </c:extLst>
        </c:ser>
        <c:ser>
          <c:idx val="1"/>
          <c:order val="1"/>
          <c:tx>
            <c:strRef>
              <c:f>all_data_set_unified_file!$AC$2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all_data_set_unified_file!$AC$62:$AC$76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2-4E60-8188-A61F4F8C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all_data_set_unified_file!$AD$62:$AD$76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2-4E60-8188-A61F4F8C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(unispace)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all_data_set_unified_file!$AB$2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all_data_set_unified_file!$AB$62:$AB$76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  <c:pt idx="6">
                  <c:v>66</c:v>
                </c:pt>
                <c:pt idx="7">
                  <c:v>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4-4AD7-9F13-FF034D2DE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all_data_set_unified_file!$AD$2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all_data_set_unified_file!$AD$62:$AD$76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4-4AD7-9F13-FF034D2DE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(unispace)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all_data_set_unified_file!$AI$3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all_data_set_unified_file!$AI$62:$AI$76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C-4268-96DC-4B8A8F26B725}"/>
            </c:ext>
          </c:extLst>
        </c:ser>
        <c:ser>
          <c:idx val="1"/>
          <c:order val="1"/>
          <c:tx>
            <c:strRef>
              <c:f>all_data_set_unified_file!$AJ$3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all_data_set_unified_file!$AJ$62:$AJ$76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C-4268-96DC-4B8A8F26B725}"/>
            </c:ext>
          </c:extLst>
        </c:ser>
        <c:ser>
          <c:idx val="2"/>
          <c:order val="2"/>
          <c:tx>
            <c:strRef>
              <c:f>all_data_set_unified_file!$AK$3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all_data_set_unified_file!$AK$62:$AK$76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38.18</c:v>
                </c:pt>
                <c:pt idx="3">
                  <c:v>0</c:v>
                </c:pt>
                <c:pt idx="4">
                  <c:v>42.86</c:v>
                </c:pt>
                <c:pt idx="5">
                  <c:v>0</c:v>
                </c:pt>
                <c:pt idx="6">
                  <c:v>0</c:v>
                </c:pt>
                <c:pt idx="7">
                  <c:v>5.35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C-4268-96DC-4B8A8F26B725}"/>
            </c:ext>
          </c:extLst>
        </c:ser>
        <c:ser>
          <c:idx val="3"/>
          <c:order val="3"/>
          <c:tx>
            <c:strRef>
              <c:f>all_data_set_unified_file!$AL$3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all_data_set_unified_file!$AL$62:$AL$76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56.36</c:v>
                </c:pt>
                <c:pt idx="3">
                  <c:v>100</c:v>
                </c:pt>
                <c:pt idx="4">
                  <c:v>57.14</c:v>
                </c:pt>
                <c:pt idx="5">
                  <c:v>100</c:v>
                </c:pt>
                <c:pt idx="6">
                  <c:v>100</c:v>
                </c:pt>
                <c:pt idx="7">
                  <c:v>94.65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C-4268-96DC-4B8A8F26B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unispace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all_data_set_unified_file!$AM$3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all_data_set_unified_file!$AM$62:$AM$76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B-45EC-A4EC-74CAC03D3313}"/>
            </c:ext>
          </c:extLst>
        </c:ser>
        <c:ser>
          <c:idx val="1"/>
          <c:order val="1"/>
          <c:tx>
            <c:strRef>
              <c:f>all_data_set_unified_file!$AN$3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all_data_set_unified_file!$AN$62:$AN$76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B-45EC-A4EC-74CAC03D3313}"/>
            </c:ext>
          </c:extLst>
        </c:ser>
        <c:ser>
          <c:idx val="2"/>
          <c:order val="2"/>
          <c:tx>
            <c:strRef>
              <c:f>all_data_set_unified_file!$AO$3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all_data_set_unified_file!$AO$62:$AO$76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0</c:v>
                </c:pt>
                <c:pt idx="4">
                  <c:v>3.19</c:v>
                </c:pt>
                <c:pt idx="5">
                  <c:v>0</c:v>
                </c:pt>
                <c:pt idx="6">
                  <c:v>0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BB-45EC-A4EC-74CAC03D3313}"/>
            </c:ext>
          </c:extLst>
        </c:ser>
        <c:ser>
          <c:idx val="3"/>
          <c:order val="3"/>
          <c:tx>
            <c:strRef>
              <c:f>all_data_set_unified_file!$AP$3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all_data_set_unified_file!$AP$62:$AP$76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20</c:v>
                </c:pt>
                <c:pt idx="4">
                  <c:v>4.26</c:v>
                </c:pt>
                <c:pt idx="5">
                  <c:v>6.86</c:v>
                </c:pt>
                <c:pt idx="6">
                  <c:v>40.24</c:v>
                </c:pt>
                <c:pt idx="7">
                  <c:v>9.3000000000000007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BB-45EC-A4EC-74CAC03D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all_data_set_unified_file!$C$61:$C$75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</c:numCache>
            </c:numRef>
          </c:cat>
          <c:val>
            <c:numRef>
              <c:f>all_data_set_unified_file!$AQ$61:$AQ$75</c:f>
              <c:numCache>
                <c:formatCode>General</c:formatCode>
                <c:ptCount val="15"/>
                <c:pt idx="1">
                  <c:v>2048</c:v>
                </c:pt>
                <c:pt idx="2">
                  <c:v>742</c:v>
                </c:pt>
                <c:pt idx="3">
                  <c:v>5528</c:v>
                </c:pt>
                <c:pt idx="4">
                  <c:v>542</c:v>
                </c:pt>
                <c:pt idx="5">
                  <c:v>718</c:v>
                </c:pt>
                <c:pt idx="6">
                  <c:v>1611</c:v>
                </c:pt>
                <c:pt idx="7">
                  <c:v>728</c:v>
                </c:pt>
                <c:pt idx="8">
                  <c:v>10751</c:v>
                </c:pt>
                <c:pt idx="9">
                  <c:v>3088</c:v>
                </c:pt>
                <c:pt idx="10">
                  <c:v>35944</c:v>
                </c:pt>
                <c:pt idx="11">
                  <c:v>2938</c:v>
                </c:pt>
                <c:pt idx="12">
                  <c:v>57085</c:v>
                </c:pt>
                <c:pt idx="13">
                  <c:v>1008</c:v>
                </c:pt>
                <c:pt idx="14">
                  <c:v>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9-4B43-9E06-FE6EFA350C1D}"/>
            </c:ext>
          </c:extLst>
        </c:ser>
        <c:ser>
          <c:idx val="1"/>
          <c:order val="1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all_data_set_unified_file!$C$61:$C$75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</c:numCache>
            </c:numRef>
          </c:cat>
          <c:val>
            <c:numRef>
              <c:f>all_data_set_unified_file!$AR$61:$AR$75</c:f>
              <c:numCache>
                <c:formatCode>General</c:formatCode>
                <c:ptCount val="15"/>
                <c:pt idx="1">
                  <c:v>2170</c:v>
                </c:pt>
                <c:pt idx="2">
                  <c:v>978</c:v>
                </c:pt>
                <c:pt idx="3">
                  <c:v>5841</c:v>
                </c:pt>
                <c:pt idx="4">
                  <c:v>1690</c:v>
                </c:pt>
                <c:pt idx="5">
                  <c:v>835</c:v>
                </c:pt>
                <c:pt idx="6">
                  <c:v>1819</c:v>
                </c:pt>
                <c:pt idx="7">
                  <c:v>882</c:v>
                </c:pt>
                <c:pt idx="8">
                  <c:v>11183</c:v>
                </c:pt>
                <c:pt idx="9">
                  <c:v>3242</c:v>
                </c:pt>
                <c:pt idx="10">
                  <c:v>36098</c:v>
                </c:pt>
                <c:pt idx="11">
                  <c:v>3093</c:v>
                </c:pt>
                <c:pt idx="12">
                  <c:v>57240</c:v>
                </c:pt>
                <c:pt idx="13">
                  <c:v>1191</c:v>
                </c:pt>
                <c:pt idx="14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9-4B43-9E06-FE6EFA350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all_data_set_unified_file!$C$61:$C$75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</c:numCache>
            </c:numRef>
          </c:cat>
          <c:val>
            <c:numRef>
              <c:f>all_data_set_unified_file!$AS$61:$AS$75</c:f>
              <c:numCache>
                <c:formatCode>General</c:formatCode>
                <c:ptCount val="15"/>
                <c:pt idx="1">
                  <c:v>105.96</c:v>
                </c:pt>
                <c:pt idx="2">
                  <c:v>131.81</c:v>
                </c:pt>
                <c:pt idx="3">
                  <c:v>105.66</c:v>
                </c:pt>
                <c:pt idx="4">
                  <c:v>311.81</c:v>
                </c:pt>
                <c:pt idx="5">
                  <c:v>116.3</c:v>
                </c:pt>
                <c:pt idx="6">
                  <c:v>112.91</c:v>
                </c:pt>
                <c:pt idx="7">
                  <c:v>121.15</c:v>
                </c:pt>
                <c:pt idx="8">
                  <c:v>104.02</c:v>
                </c:pt>
                <c:pt idx="9">
                  <c:v>104.99</c:v>
                </c:pt>
                <c:pt idx="10">
                  <c:v>100.43</c:v>
                </c:pt>
                <c:pt idx="11">
                  <c:v>105.28</c:v>
                </c:pt>
                <c:pt idx="12">
                  <c:v>100.27</c:v>
                </c:pt>
                <c:pt idx="13">
                  <c:v>118.15</c:v>
                </c:pt>
                <c:pt idx="14">
                  <c:v>117.58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9-4B43-9E06-FE6EFA350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(unispace)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all_data_set_unified_file!$AR$2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all_data_set_unified_file!$C$61:$C$75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</c:numCache>
            </c:numRef>
          </c:cat>
          <c:val>
            <c:numRef>
              <c:f>all_data_set_unified_file!$AR$61:$AR$75</c:f>
              <c:numCache>
                <c:formatCode>General</c:formatCode>
                <c:ptCount val="15"/>
                <c:pt idx="1">
                  <c:v>2170</c:v>
                </c:pt>
                <c:pt idx="2">
                  <c:v>978</c:v>
                </c:pt>
                <c:pt idx="3">
                  <c:v>5841</c:v>
                </c:pt>
                <c:pt idx="4">
                  <c:v>1690</c:v>
                </c:pt>
                <c:pt idx="5">
                  <c:v>835</c:v>
                </c:pt>
                <c:pt idx="6">
                  <c:v>1819</c:v>
                </c:pt>
                <c:pt idx="7">
                  <c:v>882</c:v>
                </c:pt>
                <c:pt idx="8">
                  <c:v>11183</c:v>
                </c:pt>
                <c:pt idx="9">
                  <c:v>3242</c:v>
                </c:pt>
                <c:pt idx="10">
                  <c:v>36098</c:v>
                </c:pt>
                <c:pt idx="11">
                  <c:v>3093</c:v>
                </c:pt>
                <c:pt idx="12">
                  <c:v>57240</c:v>
                </c:pt>
                <c:pt idx="13">
                  <c:v>1191</c:v>
                </c:pt>
                <c:pt idx="14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E-444E-8D55-7456ABCE5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all_data_set_unified_file!$C$61:$C$75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16</c:v>
                </c:pt>
                <c:pt idx="14">
                  <c:v>17</c:v>
                </c:pt>
              </c:numCache>
            </c:numRef>
          </c:cat>
          <c:val>
            <c:numRef>
              <c:f>all_data_set_unified_file!$AS$61:$AS$75</c:f>
              <c:numCache>
                <c:formatCode>General</c:formatCode>
                <c:ptCount val="15"/>
                <c:pt idx="1">
                  <c:v>105.96</c:v>
                </c:pt>
                <c:pt idx="2">
                  <c:v>131.81</c:v>
                </c:pt>
                <c:pt idx="3">
                  <c:v>105.66</c:v>
                </c:pt>
                <c:pt idx="4">
                  <c:v>311.81</c:v>
                </c:pt>
                <c:pt idx="5">
                  <c:v>116.3</c:v>
                </c:pt>
                <c:pt idx="6">
                  <c:v>112.91</c:v>
                </c:pt>
                <c:pt idx="7">
                  <c:v>121.15</c:v>
                </c:pt>
                <c:pt idx="8">
                  <c:v>104.02</c:v>
                </c:pt>
                <c:pt idx="9">
                  <c:v>104.99</c:v>
                </c:pt>
                <c:pt idx="10">
                  <c:v>100.43</c:v>
                </c:pt>
                <c:pt idx="11">
                  <c:v>105.28</c:v>
                </c:pt>
                <c:pt idx="12">
                  <c:v>100.27</c:v>
                </c:pt>
                <c:pt idx="13">
                  <c:v>118.15</c:v>
                </c:pt>
                <c:pt idx="14">
                  <c:v>117.58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E-444E-8D55-7456ABCE5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unispace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all_data_set_unified_file!$AQ$62:$AQ$76</c:f>
              <c:numCache>
                <c:formatCode>General</c:formatCode>
                <c:ptCount val="15"/>
                <c:pt idx="0">
                  <c:v>2048</c:v>
                </c:pt>
                <c:pt idx="1">
                  <c:v>742</c:v>
                </c:pt>
                <c:pt idx="2">
                  <c:v>5528</c:v>
                </c:pt>
                <c:pt idx="3">
                  <c:v>542</c:v>
                </c:pt>
                <c:pt idx="4">
                  <c:v>718</c:v>
                </c:pt>
                <c:pt idx="5">
                  <c:v>1611</c:v>
                </c:pt>
                <c:pt idx="6">
                  <c:v>728</c:v>
                </c:pt>
                <c:pt idx="7">
                  <c:v>10751</c:v>
                </c:pt>
                <c:pt idx="8">
                  <c:v>3088</c:v>
                </c:pt>
                <c:pt idx="9">
                  <c:v>35944</c:v>
                </c:pt>
                <c:pt idx="10">
                  <c:v>2938</c:v>
                </c:pt>
                <c:pt idx="11">
                  <c:v>57085</c:v>
                </c:pt>
                <c:pt idx="12">
                  <c:v>1008</c:v>
                </c:pt>
                <c:pt idx="13">
                  <c:v>1075</c:v>
                </c:pt>
                <c:pt idx="14">
                  <c:v>1335</c:v>
                </c:pt>
              </c:numCache>
            </c:numRef>
          </c:xVal>
          <c:yVal>
            <c:numRef>
              <c:f>all_data_set_unified_file!$AS$62:$AS$76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07-4F37-969E-D073BB01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all_data_set_unified_file!$AS$2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(unispace)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all_data_set_unified_file!$AU$2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all_data_set_unified_file!$AU$62:$AU$76</c:f>
              <c:numCache>
                <c:formatCode>General</c:formatCode>
                <c:ptCount val="15"/>
                <c:pt idx="0">
                  <c:v>527</c:v>
                </c:pt>
                <c:pt idx="1">
                  <c:v>531</c:v>
                </c:pt>
                <c:pt idx="2">
                  <c:v>549</c:v>
                </c:pt>
                <c:pt idx="3">
                  <c:v>516</c:v>
                </c:pt>
                <c:pt idx="4">
                  <c:v>521</c:v>
                </c:pt>
                <c:pt idx="5">
                  <c:v>557</c:v>
                </c:pt>
                <c:pt idx="6">
                  <c:v>532</c:v>
                </c:pt>
                <c:pt idx="7">
                  <c:v>3008</c:v>
                </c:pt>
                <c:pt idx="8">
                  <c:v>516</c:v>
                </c:pt>
                <c:pt idx="9">
                  <c:v>516</c:v>
                </c:pt>
                <c:pt idx="10">
                  <c:v>516</c:v>
                </c:pt>
                <c:pt idx="11">
                  <c:v>517</c:v>
                </c:pt>
                <c:pt idx="12">
                  <c:v>516</c:v>
                </c:pt>
                <c:pt idx="13">
                  <c:v>529</c:v>
                </c:pt>
                <c:pt idx="14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B-4FE8-B601-85EB9AD56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all_data_set_unified_file!$AV$62:$AV$76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B-4FE8-B601-85EB9AD56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unispace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all_data_set_unified_file!$AT$62:$AT$76</c:f>
              <c:numCache>
                <c:formatCode>General</c:formatCode>
                <c:ptCount val="15"/>
                <c:pt idx="0">
                  <c:v>13838</c:v>
                </c:pt>
                <c:pt idx="1">
                  <c:v>5434</c:v>
                </c:pt>
                <c:pt idx="2">
                  <c:v>37245</c:v>
                </c:pt>
                <c:pt idx="3">
                  <c:v>4360</c:v>
                </c:pt>
                <c:pt idx="4">
                  <c:v>4720</c:v>
                </c:pt>
                <c:pt idx="5">
                  <c:v>10230</c:v>
                </c:pt>
                <c:pt idx="6">
                  <c:v>5027</c:v>
                </c:pt>
                <c:pt idx="7">
                  <c:v>73671</c:v>
                </c:pt>
                <c:pt idx="8">
                  <c:v>15699</c:v>
                </c:pt>
                <c:pt idx="9">
                  <c:v>179953</c:v>
                </c:pt>
                <c:pt idx="10">
                  <c:v>14389</c:v>
                </c:pt>
                <c:pt idx="11">
                  <c:v>286689</c:v>
                </c:pt>
                <c:pt idx="12">
                  <c:v>7583</c:v>
                </c:pt>
                <c:pt idx="13">
                  <c:v>7000</c:v>
                </c:pt>
                <c:pt idx="14">
                  <c:v>8219</c:v>
                </c:pt>
              </c:numCache>
            </c:numRef>
          </c:xVal>
          <c:yVal>
            <c:numRef>
              <c:f>all_data_set_unified_file!$AV$62:$AV$76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8-4544-B2B7-91CF57B07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all_data_set_unified_file!$AT$2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all_data_set_unified_file!$AV$2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</a:t>
            </a:r>
            <a:r>
              <a:rPr lang="lv-LV" b="1" baseline="0"/>
              <a:t> Size analysis (clean)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all_data_set_unified_file!$E$4:$E$24</c:f>
              <c:numCache>
                <c:formatCode>General</c:formatCode>
                <c:ptCount val="21"/>
                <c:pt idx="0">
                  <c:v>516887</c:v>
                </c:pt>
                <c:pt idx="1">
                  <c:v>37705</c:v>
                </c:pt>
                <c:pt idx="2">
                  <c:v>44797</c:v>
                </c:pt>
                <c:pt idx="3">
                  <c:v>2623406</c:v>
                </c:pt>
                <c:pt idx="4">
                  <c:v>39861</c:v>
                </c:pt>
                <c:pt idx="5">
                  <c:v>39986</c:v>
                </c:pt>
                <c:pt idx="6">
                  <c:v>42495</c:v>
                </c:pt>
                <c:pt idx="7">
                  <c:v>169763</c:v>
                </c:pt>
                <c:pt idx="8">
                  <c:v>10937606</c:v>
                </c:pt>
                <c:pt idx="9">
                  <c:v>43446</c:v>
                </c:pt>
                <c:pt idx="10">
                  <c:v>51783</c:v>
                </c:pt>
                <c:pt idx="11">
                  <c:v>43840</c:v>
                </c:pt>
                <c:pt idx="12">
                  <c:v>57724</c:v>
                </c:pt>
                <c:pt idx="13">
                  <c:v>38104</c:v>
                </c:pt>
                <c:pt idx="14">
                  <c:v>258126</c:v>
                </c:pt>
                <c:pt idx="15">
                  <c:v>38527</c:v>
                </c:pt>
                <c:pt idx="16">
                  <c:v>43365</c:v>
                </c:pt>
                <c:pt idx="17">
                  <c:v>313831</c:v>
                </c:pt>
                <c:pt idx="18">
                  <c:v>47814513</c:v>
                </c:pt>
                <c:pt idx="19">
                  <c:v>404225</c:v>
                </c:pt>
                <c:pt idx="20">
                  <c:v>17511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3-4153-8E59-E1B341CF2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1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(hide in text)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all_data_set_unified_file!$E$26:$E$41</c:f>
              <c:numCache>
                <c:formatCode>General</c:formatCode>
                <c:ptCount val="16"/>
                <c:pt idx="0">
                  <c:v>520718</c:v>
                </c:pt>
                <c:pt idx="1">
                  <c:v>49011</c:v>
                </c:pt>
                <c:pt idx="2">
                  <c:v>2626625</c:v>
                </c:pt>
                <c:pt idx="3">
                  <c:v>43010</c:v>
                </c:pt>
                <c:pt idx="4">
                  <c:v>43184</c:v>
                </c:pt>
                <c:pt idx="5">
                  <c:v>46033</c:v>
                </c:pt>
                <c:pt idx="6">
                  <c:v>173161</c:v>
                </c:pt>
                <c:pt idx="7">
                  <c:v>10943017</c:v>
                </c:pt>
                <c:pt idx="8">
                  <c:v>44807</c:v>
                </c:pt>
                <c:pt idx="9">
                  <c:v>52966</c:v>
                </c:pt>
                <c:pt idx="10">
                  <c:v>45103</c:v>
                </c:pt>
                <c:pt idx="11">
                  <c:v>58940</c:v>
                </c:pt>
                <c:pt idx="12">
                  <c:v>40445</c:v>
                </c:pt>
                <c:pt idx="13">
                  <c:v>46896</c:v>
                </c:pt>
                <c:pt idx="14">
                  <c:v>406067</c:v>
                </c:pt>
                <c:pt idx="15">
                  <c:v>16851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8-4E2D-8FBF-5A87EA03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(modify RGB color channel)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all_data_set_unified_file!$E$43:$E$60</c:f>
              <c:numCache>
                <c:formatCode>General</c:formatCode>
                <c:ptCount val="18"/>
                <c:pt idx="0">
                  <c:v>518444</c:v>
                </c:pt>
                <c:pt idx="1">
                  <c:v>38779</c:v>
                </c:pt>
                <c:pt idx="2">
                  <c:v>46212</c:v>
                </c:pt>
                <c:pt idx="3">
                  <c:v>2624609</c:v>
                </c:pt>
                <c:pt idx="4">
                  <c:v>40980</c:v>
                </c:pt>
                <c:pt idx="5">
                  <c:v>40969</c:v>
                </c:pt>
                <c:pt idx="6">
                  <c:v>43644</c:v>
                </c:pt>
                <c:pt idx="7">
                  <c:v>171287</c:v>
                </c:pt>
                <c:pt idx="8">
                  <c:v>10939137</c:v>
                </c:pt>
                <c:pt idx="9">
                  <c:v>44246</c:v>
                </c:pt>
                <c:pt idx="10">
                  <c:v>52447</c:v>
                </c:pt>
                <c:pt idx="11">
                  <c:v>44603</c:v>
                </c:pt>
                <c:pt idx="12">
                  <c:v>58413</c:v>
                </c:pt>
                <c:pt idx="13">
                  <c:v>39220</c:v>
                </c:pt>
                <c:pt idx="14">
                  <c:v>39396</c:v>
                </c:pt>
                <c:pt idx="15">
                  <c:v>44476</c:v>
                </c:pt>
                <c:pt idx="16">
                  <c:v>405087</c:v>
                </c:pt>
                <c:pt idx="17">
                  <c:v>16148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8-49E5-A923-7B3ACD99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(unicode homoglyphs)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all_data_set_unified_file!$E$78:$E$92</c:f>
              <c:numCache>
                <c:formatCode>General</c:formatCode>
                <c:ptCount val="15"/>
                <c:pt idx="0">
                  <c:v>518016</c:v>
                </c:pt>
                <c:pt idx="1">
                  <c:v>45846</c:v>
                </c:pt>
                <c:pt idx="2">
                  <c:v>2624859</c:v>
                </c:pt>
                <c:pt idx="3">
                  <c:v>40948</c:v>
                </c:pt>
                <c:pt idx="4">
                  <c:v>43390</c:v>
                </c:pt>
                <c:pt idx="5">
                  <c:v>170602</c:v>
                </c:pt>
                <c:pt idx="6">
                  <c:v>10938935</c:v>
                </c:pt>
                <c:pt idx="7">
                  <c:v>45031</c:v>
                </c:pt>
                <c:pt idx="8">
                  <c:v>52535</c:v>
                </c:pt>
                <c:pt idx="9">
                  <c:v>45377</c:v>
                </c:pt>
                <c:pt idx="10">
                  <c:v>58452</c:v>
                </c:pt>
                <c:pt idx="11">
                  <c:v>39855</c:v>
                </c:pt>
                <c:pt idx="12">
                  <c:v>44485</c:v>
                </c:pt>
                <c:pt idx="13">
                  <c:v>405834</c:v>
                </c:pt>
                <c:pt idx="14">
                  <c:v>16116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754-9484-C606B7CBA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</a:t>
            </a:r>
            <a:r>
              <a:rPr lang="lv-LV" b="1" baseline="0"/>
              <a:t> S</a:t>
            </a:r>
            <a:r>
              <a:rPr lang="lv-LV" b="1"/>
              <a:t>ize analysis (unispace)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all_data_set_unified_file!$E$62:$E$76</c:f>
              <c:numCache>
                <c:formatCode>General</c:formatCode>
                <c:ptCount val="15"/>
                <c:pt idx="0">
                  <c:v>517360</c:v>
                </c:pt>
                <c:pt idx="1">
                  <c:v>45305</c:v>
                </c:pt>
                <c:pt idx="2">
                  <c:v>2623856</c:v>
                </c:pt>
                <c:pt idx="3">
                  <c:v>40239</c:v>
                </c:pt>
                <c:pt idx="4">
                  <c:v>40418</c:v>
                </c:pt>
                <c:pt idx="5">
                  <c:v>42920</c:v>
                </c:pt>
                <c:pt idx="6">
                  <c:v>170188</c:v>
                </c:pt>
                <c:pt idx="7">
                  <c:v>10938141</c:v>
                </c:pt>
                <c:pt idx="8">
                  <c:v>44029</c:v>
                </c:pt>
                <c:pt idx="9">
                  <c:v>52228</c:v>
                </c:pt>
                <c:pt idx="10">
                  <c:v>44409</c:v>
                </c:pt>
                <c:pt idx="11">
                  <c:v>58181</c:v>
                </c:pt>
                <c:pt idx="12">
                  <c:v>39231</c:v>
                </c:pt>
                <c:pt idx="13">
                  <c:v>43886</c:v>
                </c:pt>
                <c:pt idx="14">
                  <c:v>15729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0-4B03-B883-93451A3A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Document file size (B)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</a:t>
            </a:r>
            <a:r>
              <a:rPr lang="lv-LV" b="1" baseline="0"/>
              <a:t> Size analysis (clean)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invertIfNegative val="0"/>
          <c:cat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all_data_set_unified_file!$F$4:$F$24</c:f>
              <c:numCache>
                <c:formatCode>General</c:formatCode>
                <c:ptCount val="21"/>
                <c:pt idx="0">
                  <c:v>504.77</c:v>
                </c:pt>
                <c:pt idx="1">
                  <c:v>36.82</c:v>
                </c:pt>
                <c:pt idx="2">
                  <c:v>43.75</c:v>
                </c:pt>
                <c:pt idx="3">
                  <c:v>2561.92</c:v>
                </c:pt>
                <c:pt idx="4">
                  <c:v>38.93</c:v>
                </c:pt>
                <c:pt idx="5">
                  <c:v>39.049999999999997</c:v>
                </c:pt>
                <c:pt idx="6">
                  <c:v>41.5</c:v>
                </c:pt>
                <c:pt idx="7">
                  <c:v>165.78</c:v>
                </c:pt>
                <c:pt idx="8">
                  <c:v>10681.26</c:v>
                </c:pt>
                <c:pt idx="9">
                  <c:v>42.43</c:v>
                </c:pt>
                <c:pt idx="10">
                  <c:v>50.57</c:v>
                </c:pt>
                <c:pt idx="11">
                  <c:v>42.81</c:v>
                </c:pt>
                <c:pt idx="12">
                  <c:v>56.37</c:v>
                </c:pt>
                <c:pt idx="13">
                  <c:v>37.21</c:v>
                </c:pt>
                <c:pt idx="14">
                  <c:v>252.08</c:v>
                </c:pt>
                <c:pt idx="15">
                  <c:v>37.619999999999997</c:v>
                </c:pt>
                <c:pt idx="16">
                  <c:v>42.35</c:v>
                </c:pt>
                <c:pt idx="17">
                  <c:v>306.48</c:v>
                </c:pt>
                <c:pt idx="18">
                  <c:v>46693.86</c:v>
                </c:pt>
                <c:pt idx="19">
                  <c:v>394.75</c:v>
                </c:pt>
                <c:pt idx="20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8-451B-972D-F41AC67E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0"/>
          <c:order val="1"/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marker>
            <c:symbol val="none"/>
          </c:marker>
          <c:val>
            <c:numRef>
              <c:f>all_data_set_unified_file!$G$4:$G$24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8-451B-972D-F41AC67E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20568"/>
        <c:axId val="955323088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955323088"/>
        <c:scaling>
          <c:orientation val="minMax"/>
          <c:max val="115"/>
          <c:min val="85"/>
        </c:scaling>
        <c:delete val="0"/>
        <c:axPos val="r"/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955320568"/>
        <c:crosses val="max"/>
        <c:crossBetween val="between"/>
      </c:valAx>
      <c:catAx>
        <c:axId val="955320568"/>
        <c:scaling>
          <c:orientation val="minMax"/>
        </c:scaling>
        <c:delete val="1"/>
        <c:axPos val="b"/>
        <c:majorTickMark val="out"/>
        <c:minorTickMark val="none"/>
        <c:tickLblPos val="nextTo"/>
        <c:crossAx val="95532308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(hide in text)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invertIfNegative val="0"/>
          <c:cat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all_data_set_unified_file!$F$26:$F$41</c:f>
              <c:numCache>
                <c:formatCode>General</c:formatCode>
                <c:ptCount val="16"/>
                <c:pt idx="0">
                  <c:v>508.51</c:v>
                </c:pt>
                <c:pt idx="1">
                  <c:v>47.86</c:v>
                </c:pt>
                <c:pt idx="2">
                  <c:v>2565.06</c:v>
                </c:pt>
                <c:pt idx="3">
                  <c:v>42</c:v>
                </c:pt>
                <c:pt idx="4">
                  <c:v>42.17</c:v>
                </c:pt>
                <c:pt idx="5">
                  <c:v>44.95</c:v>
                </c:pt>
                <c:pt idx="6">
                  <c:v>169.1</c:v>
                </c:pt>
                <c:pt idx="7">
                  <c:v>10686.54</c:v>
                </c:pt>
                <c:pt idx="8">
                  <c:v>43.76</c:v>
                </c:pt>
                <c:pt idx="9">
                  <c:v>51.72</c:v>
                </c:pt>
                <c:pt idx="10">
                  <c:v>44.05</c:v>
                </c:pt>
                <c:pt idx="11">
                  <c:v>57.56</c:v>
                </c:pt>
                <c:pt idx="12">
                  <c:v>39.5</c:v>
                </c:pt>
                <c:pt idx="13">
                  <c:v>45.8</c:v>
                </c:pt>
                <c:pt idx="14">
                  <c:v>396.55</c:v>
                </c:pt>
                <c:pt idx="15">
                  <c:v>16.46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45D-B880-CCF77C51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0"/>
          <c:order val="1"/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marker>
            <c:symbol val="none"/>
          </c:marker>
          <c:val>
            <c:numRef>
              <c:f>all_data_set_unified_file!$G$26:$G$41</c:f>
              <c:numCache>
                <c:formatCode>General</c:formatCode>
                <c:ptCount val="16"/>
                <c:pt idx="0">
                  <c:v>100.74</c:v>
                </c:pt>
                <c:pt idx="1">
                  <c:v>109.39</c:v>
                </c:pt>
                <c:pt idx="2">
                  <c:v>100.12</c:v>
                </c:pt>
                <c:pt idx="3">
                  <c:v>107.89</c:v>
                </c:pt>
                <c:pt idx="4">
                  <c:v>107.99</c:v>
                </c:pt>
                <c:pt idx="5">
                  <c:v>108.31</c:v>
                </c:pt>
                <c:pt idx="6">
                  <c:v>102</c:v>
                </c:pt>
                <c:pt idx="7">
                  <c:v>100.05</c:v>
                </c:pt>
                <c:pt idx="8">
                  <c:v>103.13</c:v>
                </c:pt>
                <c:pt idx="9">
                  <c:v>102.27</c:v>
                </c:pt>
                <c:pt idx="10">
                  <c:v>102.9</c:v>
                </c:pt>
                <c:pt idx="11">
                  <c:v>102.11</c:v>
                </c:pt>
                <c:pt idx="12">
                  <c:v>105</c:v>
                </c:pt>
                <c:pt idx="13">
                  <c:v>108.15</c:v>
                </c:pt>
                <c:pt idx="14">
                  <c:v>100.46</c:v>
                </c:pt>
                <c:pt idx="15">
                  <c:v>96.26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A-445D-B880-CCF77C51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25608"/>
        <c:axId val="955327768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955327768"/>
        <c:scaling>
          <c:orientation val="minMax"/>
        </c:scaling>
        <c:delete val="0"/>
        <c:axPos val="r"/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955325608"/>
        <c:crosses val="max"/>
        <c:crossBetween val="between"/>
      </c:valAx>
      <c:catAx>
        <c:axId val="955325608"/>
        <c:scaling>
          <c:orientation val="minMax"/>
        </c:scaling>
        <c:delete val="1"/>
        <c:axPos val="b"/>
        <c:majorTickMark val="out"/>
        <c:minorTickMark val="none"/>
        <c:tickLblPos val="nextTo"/>
        <c:crossAx val="9553277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(modify RGB color channel)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invertIfNegative val="0"/>
          <c:cat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all_data_set_unified_file!$F$43:$F$60</c:f>
              <c:numCache>
                <c:formatCode>General</c:formatCode>
                <c:ptCount val="18"/>
                <c:pt idx="0">
                  <c:v>506.29</c:v>
                </c:pt>
                <c:pt idx="1">
                  <c:v>37.869999999999997</c:v>
                </c:pt>
                <c:pt idx="2">
                  <c:v>45.13</c:v>
                </c:pt>
                <c:pt idx="3">
                  <c:v>2563.09</c:v>
                </c:pt>
                <c:pt idx="4">
                  <c:v>40.020000000000003</c:v>
                </c:pt>
                <c:pt idx="5">
                  <c:v>40.01</c:v>
                </c:pt>
                <c:pt idx="6">
                  <c:v>42.62</c:v>
                </c:pt>
                <c:pt idx="7">
                  <c:v>167.27</c:v>
                </c:pt>
                <c:pt idx="8">
                  <c:v>10682.75</c:v>
                </c:pt>
                <c:pt idx="9">
                  <c:v>43.21</c:v>
                </c:pt>
                <c:pt idx="10">
                  <c:v>51.22</c:v>
                </c:pt>
                <c:pt idx="11">
                  <c:v>43.56</c:v>
                </c:pt>
                <c:pt idx="12">
                  <c:v>57.04</c:v>
                </c:pt>
                <c:pt idx="13">
                  <c:v>38.299999999999997</c:v>
                </c:pt>
                <c:pt idx="14">
                  <c:v>38.47</c:v>
                </c:pt>
                <c:pt idx="15">
                  <c:v>43.43</c:v>
                </c:pt>
                <c:pt idx="16">
                  <c:v>395.59</c:v>
                </c:pt>
                <c:pt idx="17">
                  <c:v>15.77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F-4F69-B6BC-72D4252C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0"/>
          <c:order val="1"/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marker>
            <c:symbol val="none"/>
          </c:marker>
          <c:val>
            <c:numRef>
              <c:f>all_data_set_unified_file!$G$43:$G$60</c:f>
              <c:numCache>
                <c:formatCode>General</c:formatCode>
                <c:ptCount val="18"/>
                <c:pt idx="0">
                  <c:v>100.3</c:v>
                </c:pt>
                <c:pt idx="1">
                  <c:v>102.85</c:v>
                </c:pt>
                <c:pt idx="2">
                  <c:v>103.15</c:v>
                </c:pt>
                <c:pt idx="3">
                  <c:v>100.05</c:v>
                </c:pt>
                <c:pt idx="4">
                  <c:v>102.8</c:v>
                </c:pt>
                <c:pt idx="5">
                  <c:v>102.46</c:v>
                </c:pt>
                <c:pt idx="6">
                  <c:v>102.7</c:v>
                </c:pt>
                <c:pt idx="7">
                  <c:v>100.9</c:v>
                </c:pt>
                <c:pt idx="8">
                  <c:v>100.01</c:v>
                </c:pt>
                <c:pt idx="9">
                  <c:v>101.84</c:v>
                </c:pt>
                <c:pt idx="10">
                  <c:v>101.29</c:v>
                </c:pt>
                <c:pt idx="11">
                  <c:v>101.75</c:v>
                </c:pt>
                <c:pt idx="12">
                  <c:v>101.19</c:v>
                </c:pt>
                <c:pt idx="13">
                  <c:v>102.93</c:v>
                </c:pt>
                <c:pt idx="14">
                  <c:v>102.26</c:v>
                </c:pt>
                <c:pt idx="15">
                  <c:v>102.55</c:v>
                </c:pt>
                <c:pt idx="16">
                  <c:v>100.21</c:v>
                </c:pt>
                <c:pt idx="17">
                  <c:v>92.22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F-4F69-B6BC-72D4252C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39288"/>
        <c:axId val="955333528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955333528"/>
        <c:scaling>
          <c:orientation val="minMax"/>
          <c:max val="115"/>
          <c:min val="85"/>
        </c:scaling>
        <c:delete val="0"/>
        <c:axPos val="r"/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955339288"/>
        <c:crosses val="max"/>
        <c:crossBetween val="between"/>
      </c:valAx>
      <c:catAx>
        <c:axId val="955339288"/>
        <c:scaling>
          <c:orientation val="minMax"/>
        </c:scaling>
        <c:delete val="1"/>
        <c:axPos val="b"/>
        <c:majorTickMark val="out"/>
        <c:minorTickMark val="none"/>
        <c:tickLblPos val="nextTo"/>
        <c:crossAx val="955333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</a:t>
            </a:r>
            <a:r>
              <a:rPr lang="lv-LV" b="1" baseline="0"/>
              <a:t>analysis (unicode homoglyphs)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invertIfNegative val="0"/>
          <c:cat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all_data_set_unified_file!$F$78:$F$92</c:f>
              <c:numCache>
                <c:formatCode>General</c:formatCode>
                <c:ptCount val="15"/>
                <c:pt idx="0">
                  <c:v>505.88</c:v>
                </c:pt>
                <c:pt idx="1">
                  <c:v>44.77</c:v>
                </c:pt>
                <c:pt idx="2">
                  <c:v>2563.34</c:v>
                </c:pt>
                <c:pt idx="3">
                  <c:v>39.99</c:v>
                </c:pt>
                <c:pt idx="4">
                  <c:v>42.37</c:v>
                </c:pt>
                <c:pt idx="5">
                  <c:v>166.6</c:v>
                </c:pt>
                <c:pt idx="6">
                  <c:v>10682.55</c:v>
                </c:pt>
                <c:pt idx="7">
                  <c:v>43.98</c:v>
                </c:pt>
                <c:pt idx="8">
                  <c:v>51.3</c:v>
                </c:pt>
                <c:pt idx="9">
                  <c:v>44.31</c:v>
                </c:pt>
                <c:pt idx="10">
                  <c:v>57.08</c:v>
                </c:pt>
                <c:pt idx="11">
                  <c:v>38.92</c:v>
                </c:pt>
                <c:pt idx="12">
                  <c:v>43.44</c:v>
                </c:pt>
                <c:pt idx="13">
                  <c:v>396.32</c:v>
                </c:pt>
                <c:pt idx="14">
                  <c:v>15.74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4-4718-99DB-6B872C10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0"/>
          <c:order val="1"/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marker>
            <c:symbol val="none"/>
          </c:marker>
          <c:val>
            <c:numRef>
              <c:f>all_data_set_unified_file!$G$78:$G$92</c:f>
              <c:numCache>
                <c:formatCode>General</c:formatCode>
                <c:ptCount val="15"/>
                <c:pt idx="0">
                  <c:v>100.22</c:v>
                </c:pt>
                <c:pt idx="1">
                  <c:v>102.33</c:v>
                </c:pt>
                <c:pt idx="2">
                  <c:v>100.06</c:v>
                </c:pt>
                <c:pt idx="3">
                  <c:v>102.41</c:v>
                </c:pt>
                <c:pt idx="4">
                  <c:v>102.1</c:v>
                </c:pt>
                <c:pt idx="5">
                  <c:v>100.49</c:v>
                </c:pt>
                <c:pt idx="6">
                  <c:v>100.01</c:v>
                </c:pt>
                <c:pt idx="7">
                  <c:v>103.65</c:v>
                </c:pt>
                <c:pt idx="8">
                  <c:v>101.44</c:v>
                </c:pt>
                <c:pt idx="9">
                  <c:v>103.5</c:v>
                </c:pt>
                <c:pt idx="10">
                  <c:v>101.26</c:v>
                </c:pt>
                <c:pt idx="11">
                  <c:v>103.46</c:v>
                </c:pt>
                <c:pt idx="12">
                  <c:v>102.57</c:v>
                </c:pt>
                <c:pt idx="13">
                  <c:v>100.4</c:v>
                </c:pt>
                <c:pt idx="14">
                  <c:v>92.05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4-4718-99DB-6B872C10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760160"/>
        <c:axId val="1138767000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1138767000"/>
        <c:scaling>
          <c:orientation val="minMax"/>
          <c:max val="115"/>
          <c:min val="85"/>
        </c:scaling>
        <c:delete val="0"/>
        <c:axPos val="r"/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138760160"/>
        <c:crosses val="max"/>
        <c:crossBetween val="between"/>
      </c:valAx>
      <c:catAx>
        <c:axId val="1138760160"/>
        <c:scaling>
          <c:orientation val="minMax"/>
        </c:scaling>
        <c:delete val="1"/>
        <c:axPos val="b"/>
        <c:majorTickMark val="out"/>
        <c:minorTickMark val="none"/>
        <c:tickLblPos val="nextTo"/>
        <c:crossAx val="113876700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File Size analysis (unispace)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invertIfNegative val="0"/>
          <c:cat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all_data_set_unified_file!$F$62:$F$76</c:f>
              <c:numCache>
                <c:formatCode>General</c:formatCode>
                <c:ptCount val="15"/>
                <c:pt idx="0">
                  <c:v>505.23</c:v>
                </c:pt>
                <c:pt idx="1">
                  <c:v>44.24</c:v>
                </c:pt>
                <c:pt idx="2">
                  <c:v>2562.36</c:v>
                </c:pt>
                <c:pt idx="3">
                  <c:v>39.299999999999997</c:v>
                </c:pt>
                <c:pt idx="4">
                  <c:v>39.47</c:v>
                </c:pt>
                <c:pt idx="5">
                  <c:v>41.91</c:v>
                </c:pt>
                <c:pt idx="6">
                  <c:v>166.2</c:v>
                </c:pt>
                <c:pt idx="7">
                  <c:v>10681.78</c:v>
                </c:pt>
                <c:pt idx="8">
                  <c:v>43</c:v>
                </c:pt>
                <c:pt idx="9">
                  <c:v>51</c:v>
                </c:pt>
                <c:pt idx="10">
                  <c:v>43.37</c:v>
                </c:pt>
                <c:pt idx="11">
                  <c:v>56.82</c:v>
                </c:pt>
                <c:pt idx="12">
                  <c:v>38.31</c:v>
                </c:pt>
                <c:pt idx="13">
                  <c:v>42.86</c:v>
                </c:pt>
                <c:pt idx="14">
                  <c:v>15.36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A-4CDD-ABF7-CA41AAA6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8531599"/>
        <c:axId val="928503423"/>
      </c:barChart>
      <c:lineChart>
        <c:grouping val="standard"/>
        <c:varyColors val="0"/>
        <c:ser>
          <c:idx val="0"/>
          <c:order val="1"/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marker>
            <c:symbol val="none"/>
          </c:marker>
          <c:val>
            <c:numRef>
              <c:f>all_data_set_unified_file!$G$62:$G$76</c:f>
              <c:numCache>
                <c:formatCode>General</c:formatCode>
                <c:ptCount val="15"/>
                <c:pt idx="0">
                  <c:v>100.09</c:v>
                </c:pt>
                <c:pt idx="1">
                  <c:v>101.12</c:v>
                </c:pt>
                <c:pt idx="2">
                  <c:v>100.02</c:v>
                </c:pt>
                <c:pt idx="3">
                  <c:v>100.95</c:v>
                </c:pt>
                <c:pt idx="4">
                  <c:v>101.08</c:v>
                </c:pt>
                <c:pt idx="5">
                  <c:v>100.99</c:v>
                </c:pt>
                <c:pt idx="6">
                  <c:v>100.25</c:v>
                </c:pt>
                <c:pt idx="7">
                  <c:v>100</c:v>
                </c:pt>
                <c:pt idx="8">
                  <c:v>101.34</c:v>
                </c:pt>
                <c:pt idx="9">
                  <c:v>100.85</c:v>
                </c:pt>
                <c:pt idx="10">
                  <c:v>101.31</c:v>
                </c:pt>
                <c:pt idx="11">
                  <c:v>100.8</c:v>
                </c:pt>
                <c:pt idx="12">
                  <c:v>101.83</c:v>
                </c:pt>
                <c:pt idx="13">
                  <c:v>101.2</c:v>
                </c:pt>
                <c:pt idx="14">
                  <c:v>89.82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A-4CDD-ABF7-CA41AAA6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36408"/>
        <c:axId val="955336048"/>
      </c:line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all_data_set_unified_file!$F$2</c:f>
              <c:strCache>
                <c:ptCount val="1"/>
                <c:pt idx="0">
                  <c:v>Document file size (KB)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  <c:valAx>
        <c:axId val="955336048"/>
        <c:scaling>
          <c:orientation val="minMax"/>
          <c:max val="115"/>
          <c:min val="85"/>
        </c:scaling>
        <c:delete val="0"/>
        <c:axPos val="r"/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955336408"/>
        <c:crosses val="max"/>
        <c:crossBetween val="between"/>
      </c:valAx>
      <c:catAx>
        <c:axId val="955336408"/>
        <c:scaling>
          <c:orientation val="minMax"/>
        </c:scaling>
        <c:delete val="1"/>
        <c:axPos val="b"/>
        <c:majorTickMark val="out"/>
        <c:minorTickMark val="none"/>
        <c:tickLblPos val="nextTo"/>
        <c:crossAx val="9553360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File</a:t>
            </a:r>
            <a:r>
              <a:rPr lang="lv-LV" baseline="0"/>
              <a:t> size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trendline>
            <c:name>Clean document size (%)</c:name>
            <c:spPr>
              <a:ln w="25400"/>
            </c:spPr>
            <c:trendlineType val="linear"/>
            <c:dispRSqr val="0"/>
            <c:dispEq val="0"/>
          </c:trendline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all_data_set_unified_file!$G$4:$G$24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1-4F18-9300-505819D1D0AB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all_data_set_unified_file!$G$26:$G$41</c:f>
              <c:numCache>
                <c:formatCode>General</c:formatCode>
                <c:ptCount val="16"/>
                <c:pt idx="0">
                  <c:v>100.74</c:v>
                </c:pt>
                <c:pt idx="1">
                  <c:v>109.39</c:v>
                </c:pt>
                <c:pt idx="2">
                  <c:v>100.12</c:v>
                </c:pt>
                <c:pt idx="3">
                  <c:v>107.89</c:v>
                </c:pt>
                <c:pt idx="4">
                  <c:v>107.99</c:v>
                </c:pt>
                <c:pt idx="5">
                  <c:v>108.31</c:v>
                </c:pt>
                <c:pt idx="6">
                  <c:v>102</c:v>
                </c:pt>
                <c:pt idx="7">
                  <c:v>100.05</c:v>
                </c:pt>
                <c:pt idx="8">
                  <c:v>103.13</c:v>
                </c:pt>
                <c:pt idx="9">
                  <c:v>102.27</c:v>
                </c:pt>
                <c:pt idx="10">
                  <c:v>102.9</c:v>
                </c:pt>
                <c:pt idx="11">
                  <c:v>102.11</c:v>
                </c:pt>
                <c:pt idx="12">
                  <c:v>105</c:v>
                </c:pt>
                <c:pt idx="13">
                  <c:v>108.15</c:v>
                </c:pt>
                <c:pt idx="14">
                  <c:v>100.46</c:v>
                </c:pt>
                <c:pt idx="15">
                  <c:v>96.26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1-4F18-9300-505819D1D0AB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all_data_set_unified_file!$G$43:$G$60</c:f>
              <c:numCache>
                <c:formatCode>General</c:formatCode>
                <c:ptCount val="18"/>
                <c:pt idx="0">
                  <c:v>100.3</c:v>
                </c:pt>
                <c:pt idx="1">
                  <c:v>102.85</c:v>
                </c:pt>
                <c:pt idx="2">
                  <c:v>103.15</c:v>
                </c:pt>
                <c:pt idx="3">
                  <c:v>100.05</c:v>
                </c:pt>
                <c:pt idx="4">
                  <c:v>102.8</c:v>
                </c:pt>
                <c:pt idx="5">
                  <c:v>102.46</c:v>
                </c:pt>
                <c:pt idx="6">
                  <c:v>102.7</c:v>
                </c:pt>
                <c:pt idx="7">
                  <c:v>100.9</c:v>
                </c:pt>
                <c:pt idx="8">
                  <c:v>100.01</c:v>
                </c:pt>
                <c:pt idx="9">
                  <c:v>101.84</c:v>
                </c:pt>
                <c:pt idx="10">
                  <c:v>101.29</c:v>
                </c:pt>
                <c:pt idx="11">
                  <c:v>101.75</c:v>
                </c:pt>
                <c:pt idx="12">
                  <c:v>101.19</c:v>
                </c:pt>
                <c:pt idx="13">
                  <c:v>102.93</c:v>
                </c:pt>
                <c:pt idx="14">
                  <c:v>102.26</c:v>
                </c:pt>
                <c:pt idx="15">
                  <c:v>102.55</c:v>
                </c:pt>
                <c:pt idx="16">
                  <c:v>100.21</c:v>
                </c:pt>
                <c:pt idx="17">
                  <c:v>92.22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01-4F18-9300-505819D1D0AB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all_data_set_unified_file!$G$62:$G$76</c:f>
              <c:numCache>
                <c:formatCode>General</c:formatCode>
                <c:ptCount val="15"/>
                <c:pt idx="0">
                  <c:v>100.09</c:v>
                </c:pt>
                <c:pt idx="1">
                  <c:v>101.12</c:v>
                </c:pt>
                <c:pt idx="2">
                  <c:v>100.02</c:v>
                </c:pt>
                <c:pt idx="3">
                  <c:v>100.95</c:v>
                </c:pt>
                <c:pt idx="4">
                  <c:v>101.08</c:v>
                </c:pt>
                <c:pt idx="5">
                  <c:v>100.99</c:v>
                </c:pt>
                <c:pt idx="6">
                  <c:v>100.25</c:v>
                </c:pt>
                <c:pt idx="7">
                  <c:v>100</c:v>
                </c:pt>
                <c:pt idx="8">
                  <c:v>101.34</c:v>
                </c:pt>
                <c:pt idx="9">
                  <c:v>100.85</c:v>
                </c:pt>
                <c:pt idx="10">
                  <c:v>101.31</c:v>
                </c:pt>
                <c:pt idx="11">
                  <c:v>100.8</c:v>
                </c:pt>
                <c:pt idx="12">
                  <c:v>101.83</c:v>
                </c:pt>
                <c:pt idx="13">
                  <c:v>101.2</c:v>
                </c:pt>
                <c:pt idx="14">
                  <c:v>89.82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1-4F18-9300-505819D1D0AB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all_data_set_unified_file!$G$78:$G$92</c:f>
              <c:numCache>
                <c:formatCode>General</c:formatCode>
                <c:ptCount val="15"/>
                <c:pt idx="0">
                  <c:v>100.22</c:v>
                </c:pt>
                <c:pt idx="1">
                  <c:v>102.33</c:v>
                </c:pt>
                <c:pt idx="2">
                  <c:v>100.06</c:v>
                </c:pt>
                <c:pt idx="3">
                  <c:v>102.41</c:v>
                </c:pt>
                <c:pt idx="4">
                  <c:v>102.1</c:v>
                </c:pt>
                <c:pt idx="5">
                  <c:v>100.49</c:v>
                </c:pt>
                <c:pt idx="6">
                  <c:v>100.01</c:v>
                </c:pt>
                <c:pt idx="7">
                  <c:v>103.65</c:v>
                </c:pt>
                <c:pt idx="8">
                  <c:v>101.44</c:v>
                </c:pt>
                <c:pt idx="9">
                  <c:v>103.5</c:v>
                </c:pt>
                <c:pt idx="10">
                  <c:v>101.26</c:v>
                </c:pt>
                <c:pt idx="11">
                  <c:v>103.46</c:v>
                </c:pt>
                <c:pt idx="12">
                  <c:v>102.57</c:v>
                </c:pt>
                <c:pt idx="13">
                  <c:v>100.4</c:v>
                </c:pt>
                <c:pt idx="14">
                  <c:v>92.05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01-4F18-9300-505819D1D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all_data_set_unified_file!$G$2</c:f>
              <c:strCache>
                <c:ptCount val="1"/>
                <c:pt idx="0">
                  <c:v>Document file size change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Total</a:t>
            </a:r>
            <a:r>
              <a:rPr lang="lv-LV" baseline="0"/>
              <a:t> Run Element Count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all_data_set_unified_file!$C$4:$C$24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all_data_set_unified_file!$J$4:$J$24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7-4D13-8064-D1F90E7FFFAA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all_data_set_unified_file!$C$26:$C$41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all_data_set_unified_file!$J$26:$J$41</c:f>
              <c:numCache>
                <c:formatCode>General</c:formatCode>
                <c:ptCount val="16"/>
                <c:pt idx="0">
                  <c:v>453.56</c:v>
                </c:pt>
                <c:pt idx="1">
                  <c:v>576.77</c:v>
                </c:pt>
                <c:pt idx="2">
                  <c:v>228.26</c:v>
                </c:pt>
                <c:pt idx="3">
                  <c:v>1280</c:v>
                </c:pt>
                <c:pt idx="4">
                  <c:v>1104.26</c:v>
                </c:pt>
                <c:pt idx="5">
                  <c:v>639.42999999999995</c:v>
                </c:pt>
                <c:pt idx="6">
                  <c:v>675.61</c:v>
                </c:pt>
                <c:pt idx="7">
                  <c:v>149.61000000000001</c:v>
                </c:pt>
                <c:pt idx="8">
                  <c:v>133.15</c:v>
                </c:pt>
                <c:pt idx="9">
                  <c:v>102.64</c:v>
                </c:pt>
                <c:pt idx="10">
                  <c:v>132.78</c:v>
                </c:pt>
                <c:pt idx="11">
                  <c:v>101.66</c:v>
                </c:pt>
                <c:pt idx="12">
                  <c:v>942.86</c:v>
                </c:pt>
                <c:pt idx="13">
                  <c:v>543.19000000000005</c:v>
                </c:pt>
                <c:pt idx="14">
                  <c:v>101.95</c:v>
                </c:pt>
                <c:pt idx="15">
                  <c:v>3596.3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7-4D13-8064-D1F90E7FFFAA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all_data_set_unified_file!$C$43:$C$60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all_data_set_unified_file!$J$43:$J$60</c:f>
              <c:numCache>
                <c:formatCode>General</c:formatCode>
                <c:ptCount val="18"/>
                <c:pt idx="0">
                  <c:v>176.4</c:v>
                </c:pt>
                <c:pt idx="1">
                  <c:v>2036.36</c:v>
                </c:pt>
                <c:pt idx="2">
                  <c:v>205.56</c:v>
                </c:pt>
                <c:pt idx="3">
                  <c:v>127.85</c:v>
                </c:pt>
                <c:pt idx="4">
                  <c:v>360</c:v>
                </c:pt>
                <c:pt idx="5">
                  <c:v>319.14999999999998</c:v>
                </c:pt>
                <c:pt idx="6">
                  <c:v>217.14</c:v>
                </c:pt>
                <c:pt idx="7">
                  <c:v>223.78</c:v>
                </c:pt>
                <c:pt idx="8">
                  <c:v>110.77</c:v>
                </c:pt>
                <c:pt idx="9">
                  <c:v>106.36</c:v>
                </c:pt>
                <c:pt idx="10">
                  <c:v>100.49</c:v>
                </c:pt>
                <c:pt idx="11">
                  <c:v>106.25</c:v>
                </c:pt>
                <c:pt idx="12">
                  <c:v>100.31</c:v>
                </c:pt>
                <c:pt idx="13">
                  <c:v>2400</c:v>
                </c:pt>
                <c:pt idx="14">
                  <c:v>279.45999999999998</c:v>
                </c:pt>
                <c:pt idx="15">
                  <c:v>196.71</c:v>
                </c:pt>
                <c:pt idx="16">
                  <c:v>100.38</c:v>
                </c:pt>
                <c:pt idx="17">
                  <c:v>874.07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37-4D13-8064-D1F90E7FFFAA}"/>
            </c:ext>
          </c:extLst>
        </c:ser>
        <c:ser>
          <c:idx val="0"/>
          <c:order val="3"/>
          <c:tx>
            <c:strRef>
              <c:f>all_data_set_unified_file!$A$62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all_data_set_unified_file!$C$62:$C$76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all_data_set_unified_file!$J$62:$J$76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37-4D13-8064-D1F90E7FFFAA}"/>
            </c:ext>
          </c:extLst>
        </c:ser>
        <c:ser>
          <c:idx val="3"/>
          <c:order val="4"/>
          <c:tx>
            <c:strRef>
              <c:f>all_data_set_unified_file!$A$78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all_data_set_unified_file!$C$78:$C$92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all_data_set_unified_file!$J$78:$J$92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37-4D13-8064-D1F90E7F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all_data_set_unified_file!$C$1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410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all_data_set_unified_file!$J$2</c:f>
              <c:strCache>
                <c:ptCount val="1"/>
                <c:pt idx="0">
                  <c:v>Total Run Element Count Change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_xlchart.v1.6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(hide_in_text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_xlchart.v1.8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_xlchart.v1.2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_xlchart.v1.0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Text Elements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(unicode_homoglyphs 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AE2D1A8-05E6-41F9-B9E5-1319DBFED8C9}">
          <cx:tx>
            <cx:txData>
              <cx:f>_xlchart.v1.4</cx:f>
              <cx:v>Text Elements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valScaling max="2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Text Element</a:t>
                </a: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Text Elements in Paragraphs Bins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</a:t>
            </a:r>
            <a:r>
              <a:rPr lang="lv-LV" b="1">
                <a:effectLst/>
              </a:rPr>
              <a:t>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896DD36-FDDB-4F46-B1D1-014A1AC2B2EE}">
          <cx:tx>
            <cx:txData>
              <cx:f>_xlchart.v1.10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Paragraph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(hide_in_text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6B091BB-8B85-4CF5-B980-D1A08731A9D2}">
          <cx:tx>
            <cx:txData>
              <cx:f>_xlchart.v1.12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US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Whitespace counts in paragraph bins</a:t>
                </a:r>
                <a:endParaRPr lang="lv-LV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BE2E769-F2B0-413E-8E2F-EA65791A581A}">
          <cx:tx>
            <cx:txData>
              <cx:f>_xlchart.v1.16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E44E1B7-3C98-4E60-937A-705C6275914B}">
          <cx:tx>
            <cx:txData>
              <cx:f>_xlchart.v1.14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Whitespace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(unicode_homoglyphs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589B125-C151-4DA0-AF67-C8E052D604AE}">
          <cx:tx>
            <cx:txData>
              <cx:f>_xlchart.v1.18</cx:f>
              <cx:v>Whitespace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</a:t>
            </a:r>
            <a:r>
              <a:rPr lang="lv-LV" b="1">
                <a:effectLst/>
              </a:rPr>
              <a:t>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896DD36-FDDB-4F46-B1D1-014A1AC2B2EE}">
          <cx:tx>
            <cx:txData>
              <cx:f>_xlchart.v1.20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Non-ASCII char</a:t>
                </a:r>
                <a:r>
                  <a:rPr lang="en-US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counts in paragraph bins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Paragraph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(hide_in_text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6B091BB-8B85-4CF5-B980-D1A08731A9D2}">
          <cx:tx>
            <cx:txData>
              <cx:f>_xlchart.v1.22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BE2E769-F2B0-413E-8E2F-EA65791A581A}">
          <cx:tx>
            <cx:txData>
              <cx:f>_xlchart.v1.26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E44E1B7-3C98-4E60-937A-705C6275914B}">
          <cx:tx>
            <cx:txData>
              <cx:f>_xlchart.v1.24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 max="18"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(unicode_homoglyphs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589B125-C151-4DA0-AF67-C8E052D604AE}">
          <cx:tx>
            <cx:txData>
              <cx:f>_xlchart.v1.28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 max="18"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9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openxmlformats.org/officeDocument/2006/relationships/chart" Target="../charts/chart7.xml"/><Relationship Id="rId5" Type="http://schemas.microsoft.com/office/2014/relationships/chartEx" Target="../charts/chartEx3.xml"/><Relationship Id="rId10" Type="http://schemas.openxmlformats.org/officeDocument/2006/relationships/chart" Target="../charts/chart6.xml"/><Relationship Id="rId4" Type="http://schemas.openxmlformats.org/officeDocument/2006/relationships/chart" Target="../charts/chart3.xml"/><Relationship Id="rId9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3.xml"/><Relationship Id="rId3" Type="http://schemas.microsoft.com/office/2014/relationships/chartEx" Target="../charts/chartEx7.xml"/><Relationship Id="rId7" Type="http://schemas.microsoft.com/office/2014/relationships/chartEx" Target="../charts/chartEx9.xml"/><Relationship Id="rId12" Type="http://schemas.openxmlformats.org/officeDocument/2006/relationships/chart" Target="../charts/chart22.xml"/><Relationship Id="rId2" Type="http://schemas.openxmlformats.org/officeDocument/2006/relationships/chart" Target="../charts/chart16.xml"/><Relationship Id="rId1" Type="http://schemas.microsoft.com/office/2014/relationships/chartEx" Target="../charts/chartEx6.xml"/><Relationship Id="rId6" Type="http://schemas.openxmlformats.org/officeDocument/2006/relationships/chart" Target="../charts/chart18.xml"/><Relationship Id="rId11" Type="http://schemas.openxmlformats.org/officeDocument/2006/relationships/chart" Target="../charts/chart21.xml"/><Relationship Id="rId5" Type="http://schemas.microsoft.com/office/2014/relationships/chartEx" Target="../charts/chartEx8.xml"/><Relationship Id="rId10" Type="http://schemas.openxmlformats.org/officeDocument/2006/relationships/chart" Target="../charts/chart20.xml"/><Relationship Id="rId4" Type="http://schemas.openxmlformats.org/officeDocument/2006/relationships/chart" Target="../charts/chart17.xml"/><Relationship Id="rId9" Type="http://schemas.microsoft.com/office/2014/relationships/chartEx" Target="../charts/chartEx10.xml"/><Relationship Id="rId1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2.xml"/><Relationship Id="rId3" Type="http://schemas.microsoft.com/office/2014/relationships/chartEx" Target="../charts/chartEx12.xml"/><Relationship Id="rId7" Type="http://schemas.microsoft.com/office/2014/relationships/chartEx" Target="../charts/chartEx14.xml"/><Relationship Id="rId12" Type="http://schemas.openxmlformats.org/officeDocument/2006/relationships/chart" Target="../charts/chart31.xml"/><Relationship Id="rId2" Type="http://schemas.openxmlformats.org/officeDocument/2006/relationships/chart" Target="../charts/chart25.xml"/><Relationship Id="rId1" Type="http://schemas.microsoft.com/office/2014/relationships/chartEx" Target="../charts/chartEx11.xml"/><Relationship Id="rId6" Type="http://schemas.openxmlformats.org/officeDocument/2006/relationships/chart" Target="../charts/chart27.xml"/><Relationship Id="rId11" Type="http://schemas.openxmlformats.org/officeDocument/2006/relationships/chart" Target="../charts/chart30.xml"/><Relationship Id="rId5" Type="http://schemas.microsoft.com/office/2014/relationships/chartEx" Target="../charts/chartEx13.xml"/><Relationship Id="rId10" Type="http://schemas.openxmlformats.org/officeDocument/2006/relationships/chart" Target="../charts/chart29.xml"/><Relationship Id="rId4" Type="http://schemas.openxmlformats.org/officeDocument/2006/relationships/chart" Target="../charts/chart26.xml"/><Relationship Id="rId9" Type="http://schemas.microsoft.com/office/2014/relationships/chartEx" Target="../charts/chartEx15.xml"/><Relationship Id="rId14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6.xml"/><Relationship Id="rId18" Type="http://schemas.openxmlformats.org/officeDocument/2006/relationships/chart" Target="../charts/chart51.xml"/><Relationship Id="rId26" Type="http://schemas.openxmlformats.org/officeDocument/2006/relationships/chart" Target="../charts/chart59.xml"/><Relationship Id="rId39" Type="http://schemas.openxmlformats.org/officeDocument/2006/relationships/chart" Target="../charts/chart72.xml"/><Relationship Id="rId21" Type="http://schemas.openxmlformats.org/officeDocument/2006/relationships/chart" Target="../charts/chart54.xml"/><Relationship Id="rId34" Type="http://schemas.openxmlformats.org/officeDocument/2006/relationships/chart" Target="../charts/chart67.xml"/><Relationship Id="rId42" Type="http://schemas.openxmlformats.org/officeDocument/2006/relationships/chart" Target="../charts/chart75.xml"/><Relationship Id="rId47" Type="http://schemas.openxmlformats.org/officeDocument/2006/relationships/chart" Target="../charts/chart80.xml"/><Relationship Id="rId50" Type="http://schemas.openxmlformats.org/officeDocument/2006/relationships/chart" Target="../charts/chart83.xml"/><Relationship Id="rId55" Type="http://schemas.openxmlformats.org/officeDocument/2006/relationships/chart" Target="../charts/chart88.xml"/><Relationship Id="rId63" Type="http://schemas.openxmlformats.org/officeDocument/2006/relationships/chart" Target="../charts/chart96.xml"/><Relationship Id="rId68" Type="http://schemas.openxmlformats.org/officeDocument/2006/relationships/chart" Target="../charts/chart101.xml"/><Relationship Id="rId76" Type="http://schemas.openxmlformats.org/officeDocument/2006/relationships/chart" Target="../charts/chart109.xml"/><Relationship Id="rId84" Type="http://schemas.openxmlformats.org/officeDocument/2006/relationships/chart" Target="../charts/chart117.xml"/><Relationship Id="rId89" Type="http://schemas.openxmlformats.org/officeDocument/2006/relationships/chart" Target="../charts/chart122.xml"/><Relationship Id="rId7" Type="http://schemas.openxmlformats.org/officeDocument/2006/relationships/chart" Target="../charts/chart40.xml"/><Relationship Id="rId71" Type="http://schemas.openxmlformats.org/officeDocument/2006/relationships/chart" Target="../charts/chart104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29" Type="http://schemas.openxmlformats.org/officeDocument/2006/relationships/chart" Target="../charts/chart62.xml"/><Relationship Id="rId11" Type="http://schemas.openxmlformats.org/officeDocument/2006/relationships/chart" Target="../charts/chart44.xml"/><Relationship Id="rId24" Type="http://schemas.openxmlformats.org/officeDocument/2006/relationships/chart" Target="../charts/chart57.xml"/><Relationship Id="rId32" Type="http://schemas.openxmlformats.org/officeDocument/2006/relationships/chart" Target="../charts/chart65.xml"/><Relationship Id="rId37" Type="http://schemas.openxmlformats.org/officeDocument/2006/relationships/chart" Target="../charts/chart70.xml"/><Relationship Id="rId40" Type="http://schemas.openxmlformats.org/officeDocument/2006/relationships/chart" Target="../charts/chart73.xml"/><Relationship Id="rId45" Type="http://schemas.openxmlformats.org/officeDocument/2006/relationships/chart" Target="../charts/chart78.xml"/><Relationship Id="rId53" Type="http://schemas.openxmlformats.org/officeDocument/2006/relationships/chart" Target="../charts/chart86.xml"/><Relationship Id="rId58" Type="http://schemas.openxmlformats.org/officeDocument/2006/relationships/chart" Target="../charts/chart91.xml"/><Relationship Id="rId66" Type="http://schemas.openxmlformats.org/officeDocument/2006/relationships/chart" Target="../charts/chart99.xml"/><Relationship Id="rId74" Type="http://schemas.openxmlformats.org/officeDocument/2006/relationships/chart" Target="../charts/chart107.xml"/><Relationship Id="rId79" Type="http://schemas.openxmlformats.org/officeDocument/2006/relationships/chart" Target="../charts/chart112.xml"/><Relationship Id="rId87" Type="http://schemas.openxmlformats.org/officeDocument/2006/relationships/chart" Target="../charts/chart120.xml"/><Relationship Id="rId5" Type="http://schemas.openxmlformats.org/officeDocument/2006/relationships/chart" Target="../charts/chart38.xml"/><Relationship Id="rId61" Type="http://schemas.openxmlformats.org/officeDocument/2006/relationships/chart" Target="../charts/chart94.xml"/><Relationship Id="rId82" Type="http://schemas.openxmlformats.org/officeDocument/2006/relationships/chart" Target="../charts/chart115.xml"/><Relationship Id="rId90" Type="http://schemas.openxmlformats.org/officeDocument/2006/relationships/chart" Target="../charts/chart123.xml"/><Relationship Id="rId19" Type="http://schemas.openxmlformats.org/officeDocument/2006/relationships/chart" Target="../charts/chart52.xml"/><Relationship Id="rId14" Type="http://schemas.openxmlformats.org/officeDocument/2006/relationships/chart" Target="../charts/chart47.xml"/><Relationship Id="rId22" Type="http://schemas.openxmlformats.org/officeDocument/2006/relationships/chart" Target="../charts/chart55.xml"/><Relationship Id="rId27" Type="http://schemas.openxmlformats.org/officeDocument/2006/relationships/chart" Target="../charts/chart60.xml"/><Relationship Id="rId30" Type="http://schemas.openxmlformats.org/officeDocument/2006/relationships/chart" Target="../charts/chart63.xml"/><Relationship Id="rId35" Type="http://schemas.openxmlformats.org/officeDocument/2006/relationships/chart" Target="../charts/chart68.xml"/><Relationship Id="rId43" Type="http://schemas.openxmlformats.org/officeDocument/2006/relationships/chart" Target="../charts/chart76.xml"/><Relationship Id="rId48" Type="http://schemas.openxmlformats.org/officeDocument/2006/relationships/chart" Target="../charts/chart81.xml"/><Relationship Id="rId56" Type="http://schemas.openxmlformats.org/officeDocument/2006/relationships/chart" Target="../charts/chart89.xml"/><Relationship Id="rId64" Type="http://schemas.openxmlformats.org/officeDocument/2006/relationships/chart" Target="../charts/chart97.xml"/><Relationship Id="rId69" Type="http://schemas.openxmlformats.org/officeDocument/2006/relationships/chart" Target="../charts/chart102.xml"/><Relationship Id="rId77" Type="http://schemas.openxmlformats.org/officeDocument/2006/relationships/chart" Target="../charts/chart110.xml"/><Relationship Id="rId8" Type="http://schemas.openxmlformats.org/officeDocument/2006/relationships/chart" Target="../charts/chart41.xml"/><Relationship Id="rId51" Type="http://schemas.openxmlformats.org/officeDocument/2006/relationships/chart" Target="../charts/chart84.xml"/><Relationship Id="rId72" Type="http://schemas.openxmlformats.org/officeDocument/2006/relationships/chart" Target="../charts/chart105.xml"/><Relationship Id="rId80" Type="http://schemas.openxmlformats.org/officeDocument/2006/relationships/chart" Target="../charts/chart113.xml"/><Relationship Id="rId85" Type="http://schemas.openxmlformats.org/officeDocument/2006/relationships/chart" Target="../charts/chart118.xml"/><Relationship Id="rId3" Type="http://schemas.openxmlformats.org/officeDocument/2006/relationships/chart" Target="../charts/chart36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5" Type="http://schemas.openxmlformats.org/officeDocument/2006/relationships/chart" Target="../charts/chart58.xml"/><Relationship Id="rId33" Type="http://schemas.openxmlformats.org/officeDocument/2006/relationships/chart" Target="../charts/chart66.xml"/><Relationship Id="rId38" Type="http://schemas.openxmlformats.org/officeDocument/2006/relationships/chart" Target="../charts/chart71.xml"/><Relationship Id="rId46" Type="http://schemas.openxmlformats.org/officeDocument/2006/relationships/chart" Target="../charts/chart79.xml"/><Relationship Id="rId59" Type="http://schemas.openxmlformats.org/officeDocument/2006/relationships/chart" Target="../charts/chart92.xml"/><Relationship Id="rId67" Type="http://schemas.openxmlformats.org/officeDocument/2006/relationships/chart" Target="../charts/chart100.xml"/><Relationship Id="rId20" Type="http://schemas.openxmlformats.org/officeDocument/2006/relationships/chart" Target="../charts/chart53.xml"/><Relationship Id="rId41" Type="http://schemas.openxmlformats.org/officeDocument/2006/relationships/chart" Target="../charts/chart74.xml"/><Relationship Id="rId54" Type="http://schemas.openxmlformats.org/officeDocument/2006/relationships/chart" Target="../charts/chart87.xml"/><Relationship Id="rId62" Type="http://schemas.openxmlformats.org/officeDocument/2006/relationships/chart" Target="../charts/chart95.xml"/><Relationship Id="rId70" Type="http://schemas.openxmlformats.org/officeDocument/2006/relationships/chart" Target="../charts/chart103.xml"/><Relationship Id="rId75" Type="http://schemas.openxmlformats.org/officeDocument/2006/relationships/chart" Target="../charts/chart108.xml"/><Relationship Id="rId83" Type="http://schemas.openxmlformats.org/officeDocument/2006/relationships/chart" Target="../charts/chart116.xml"/><Relationship Id="rId88" Type="http://schemas.openxmlformats.org/officeDocument/2006/relationships/chart" Target="../charts/chart121.xml"/><Relationship Id="rId91" Type="http://schemas.openxmlformats.org/officeDocument/2006/relationships/chart" Target="../charts/chart124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5" Type="http://schemas.openxmlformats.org/officeDocument/2006/relationships/chart" Target="../charts/chart48.xml"/><Relationship Id="rId23" Type="http://schemas.openxmlformats.org/officeDocument/2006/relationships/chart" Target="../charts/chart56.xml"/><Relationship Id="rId28" Type="http://schemas.openxmlformats.org/officeDocument/2006/relationships/chart" Target="../charts/chart61.xml"/><Relationship Id="rId36" Type="http://schemas.openxmlformats.org/officeDocument/2006/relationships/chart" Target="../charts/chart69.xml"/><Relationship Id="rId49" Type="http://schemas.openxmlformats.org/officeDocument/2006/relationships/chart" Target="../charts/chart82.xml"/><Relationship Id="rId57" Type="http://schemas.openxmlformats.org/officeDocument/2006/relationships/chart" Target="../charts/chart90.xml"/><Relationship Id="rId10" Type="http://schemas.openxmlformats.org/officeDocument/2006/relationships/chart" Target="../charts/chart43.xml"/><Relationship Id="rId31" Type="http://schemas.openxmlformats.org/officeDocument/2006/relationships/chart" Target="../charts/chart64.xml"/><Relationship Id="rId44" Type="http://schemas.openxmlformats.org/officeDocument/2006/relationships/chart" Target="../charts/chart77.xml"/><Relationship Id="rId52" Type="http://schemas.openxmlformats.org/officeDocument/2006/relationships/chart" Target="../charts/chart85.xml"/><Relationship Id="rId60" Type="http://schemas.openxmlformats.org/officeDocument/2006/relationships/chart" Target="../charts/chart93.xml"/><Relationship Id="rId65" Type="http://schemas.openxmlformats.org/officeDocument/2006/relationships/chart" Target="../charts/chart98.xml"/><Relationship Id="rId73" Type="http://schemas.openxmlformats.org/officeDocument/2006/relationships/chart" Target="../charts/chart106.xml"/><Relationship Id="rId78" Type="http://schemas.openxmlformats.org/officeDocument/2006/relationships/chart" Target="../charts/chart111.xml"/><Relationship Id="rId81" Type="http://schemas.openxmlformats.org/officeDocument/2006/relationships/chart" Target="../charts/chart114.xml"/><Relationship Id="rId86" Type="http://schemas.openxmlformats.org/officeDocument/2006/relationships/chart" Target="../charts/chart119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6</xdr:row>
      <xdr:rowOff>47625</xdr:rowOff>
    </xdr:from>
    <xdr:to>
      <xdr:col>16</xdr:col>
      <xdr:colOff>571499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BDBFB-91EA-4256-86C1-EBE99E2BE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4762</xdr:rowOff>
    </xdr:from>
    <xdr:to>
      <xdr:col>8</xdr:col>
      <xdr:colOff>304800</xdr:colOff>
      <xdr:row>54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C9D96F-A129-46B8-9518-25A84B754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7624762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39</xdr:row>
      <xdr:rowOff>180975</xdr:rowOff>
    </xdr:from>
    <xdr:to>
      <xdr:col>16</xdr:col>
      <xdr:colOff>295275</xdr:colOff>
      <xdr:row>54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4B17F-4C13-423C-B55E-74D5B48C9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14287</xdr:rowOff>
    </xdr:from>
    <xdr:to>
      <xdr:col>8</xdr:col>
      <xdr:colOff>304800</xdr:colOff>
      <xdr:row>69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7E4EC6-EF98-4F0B-A553-D7136683A9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04917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55</xdr:row>
      <xdr:rowOff>0</xdr:rowOff>
    </xdr:from>
    <xdr:to>
      <xdr:col>16</xdr:col>
      <xdr:colOff>295275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3A043-5367-476D-84FB-6C0A6DEE6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14287</xdr:rowOff>
    </xdr:from>
    <xdr:to>
      <xdr:col>8</xdr:col>
      <xdr:colOff>304800</xdr:colOff>
      <xdr:row>84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833D64F-D9D0-47C9-A863-514296C67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33492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70</xdr:row>
      <xdr:rowOff>0</xdr:rowOff>
    </xdr:from>
    <xdr:to>
      <xdr:col>16</xdr:col>
      <xdr:colOff>295275</xdr:colOff>
      <xdr:row>84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4C7986-6E2B-482B-8734-27CA64608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85</xdr:row>
      <xdr:rowOff>14287</xdr:rowOff>
    </xdr:from>
    <xdr:to>
      <xdr:col>8</xdr:col>
      <xdr:colOff>304800</xdr:colOff>
      <xdr:row>99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C0E2DF0-8707-49BC-93FE-F2A8988C1D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62067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85</xdr:row>
      <xdr:rowOff>0</xdr:rowOff>
    </xdr:from>
    <xdr:to>
      <xdr:col>16</xdr:col>
      <xdr:colOff>295275</xdr:colOff>
      <xdr:row>99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F9F505-6527-42B6-9DE8-F732A3A1D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100</xdr:row>
      <xdr:rowOff>14287</xdr:rowOff>
    </xdr:from>
    <xdr:to>
      <xdr:col>8</xdr:col>
      <xdr:colOff>304800</xdr:colOff>
      <xdr:row>114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77E4CE7-564F-4A1B-B767-357DEC2C6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9064287"/>
              <a:ext cx="5305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600075</xdr:colOff>
      <xdr:row>100</xdr:row>
      <xdr:rowOff>0</xdr:rowOff>
    </xdr:from>
    <xdr:to>
      <xdr:col>16</xdr:col>
      <xdr:colOff>295275</xdr:colOff>
      <xdr:row>114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5D4C94-9D13-43BC-861A-3322A5D80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537482</xdr:colOff>
      <xdr:row>84</xdr:row>
      <xdr:rowOff>118382</xdr:rowOff>
    </xdr:from>
    <xdr:to>
      <xdr:col>29</xdr:col>
      <xdr:colOff>54430</xdr:colOff>
      <xdr:row>107</xdr:row>
      <xdr:rowOff>108857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6496707-D09A-45D2-A270-740C2DA4E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40</xdr:row>
      <xdr:rowOff>0</xdr:rowOff>
    </xdr:from>
    <xdr:to>
      <xdr:col>28</xdr:col>
      <xdr:colOff>598714</xdr:colOff>
      <xdr:row>62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85F8A2-B2A7-4D62-9F2A-F29C111E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598714</xdr:colOff>
      <xdr:row>62</xdr:row>
      <xdr:rowOff>54428</xdr:rowOff>
    </xdr:from>
    <xdr:to>
      <xdr:col>28</xdr:col>
      <xdr:colOff>585107</xdr:colOff>
      <xdr:row>84</xdr:row>
      <xdr:rowOff>54428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14FC3A-A837-4F9B-A7DC-57BAFCAE4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36</xdr:row>
      <xdr:rowOff>161925</xdr:rowOff>
    </xdr:from>
    <xdr:to>
      <xdr:col>11</xdr:col>
      <xdr:colOff>333375</xdr:colOff>
      <xdr:row>54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624F6-F534-48C3-8108-CB54C2800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17</xdr:col>
      <xdr:colOff>523875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D45E4-85ED-4EA4-BC4B-351DE78D3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364261</xdr:colOff>
      <xdr:row>1</xdr:row>
      <xdr:rowOff>22412</xdr:rowOff>
    </xdr:from>
    <xdr:to>
      <xdr:col>26</xdr:col>
      <xdr:colOff>481139</xdr:colOff>
      <xdr:row>18</xdr:row>
      <xdr:rowOff>87965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93545-CD71-418B-99A5-631D884BC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267817</xdr:colOff>
      <xdr:row>18</xdr:row>
      <xdr:rowOff>180417</xdr:rowOff>
    </xdr:from>
    <xdr:to>
      <xdr:col>26</xdr:col>
      <xdr:colOff>381001</xdr:colOff>
      <xdr:row>37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57E1E-1212-4B3D-8C3D-3399DFF6E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593910</xdr:colOff>
      <xdr:row>1</xdr:row>
      <xdr:rowOff>11206</xdr:rowOff>
    </xdr:from>
    <xdr:to>
      <xdr:col>16</xdr:col>
      <xdr:colOff>101975</xdr:colOff>
      <xdr:row>18</xdr:row>
      <xdr:rowOff>78438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6602FA-D8E1-4321-9932-FF6C0CD78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6163</xdr:colOff>
      <xdr:row>19</xdr:row>
      <xdr:rowOff>21851</xdr:rowOff>
    </xdr:from>
    <xdr:to>
      <xdr:col>16</xdr:col>
      <xdr:colOff>119346</xdr:colOff>
      <xdr:row>37</xdr:row>
      <xdr:rowOff>54345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6CF7EC-7DC8-408A-ADFB-7E654A2A6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490538</xdr:colOff>
      <xdr:row>34</xdr:row>
      <xdr:rowOff>133350</xdr:rowOff>
    </xdr:from>
    <xdr:to>
      <xdr:col>4</xdr:col>
      <xdr:colOff>461963</xdr:colOff>
      <xdr:row>49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44FA11-69DD-45D7-9CE2-174B1F5440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538" y="6610350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612123</xdr:colOff>
      <xdr:row>34</xdr:row>
      <xdr:rowOff>177894</xdr:rowOff>
    </xdr:from>
    <xdr:to>
      <xdr:col>12</xdr:col>
      <xdr:colOff>311806</xdr:colOff>
      <xdr:row>49</xdr:row>
      <xdr:rowOff>63594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69448-6618-4FE8-BA85-CDE10E8B7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404813</xdr:colOff>
      <xdr:row>50</xdr:row>
      <xdr:rowOff>43423</xdr:rowOff>
    </xdr:from>
    <xdr:to>
      <xdr:col>4</xdr:col>
      <xdr:colOff>390246</xdr:colOff>
      <xdr:row>64</xdr:row>
      <xdr:rowOff>119623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2673B45-C9A6-4852-8BE3-9212FE4B6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813" y="9568423"/>
              <a:ext cx="46431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540406</xdr:colOff>
      <xdr:row>50</xdr:row>
      <xdr:rowOff>87967</xdr:rowOff>
    </xdr:from>
    <xdr:to>
      <xdr:col>12</xdr:col>
      <xdr:colOff>240089</xdr:colOff>
      <xdr:row>64</xdr:row>
      <xdr:rowOff>164167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D4BC90-4EA2-4B86-A5FD-5FAA3E6E4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452438</xdr:colOff>
      <xdr:row>64</xdr:row>
      <xdr:rowOff>166688</xdr:rowOff>
    </xdr:from>
    <xdr:to>
      <xdr:col>4</xdr:col>
      <xdr:colOff>423863</xdr:colOff>
      <xdr:row>79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98E2500-B933-4B4D-B7A7-B9949A3FA9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23586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65</xdr:row>
      <xdr:rowOff>20732</xdr:rowOff>
    </xdr:from>
    <xdr:to>
      <xdr:col>12</xdr:col>
      <xdr:colOff>273706</xdr:colOff>
      <xdr:row>79</xdr:row>
      <xdr:rowOff>96932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2BB849-ADBF-445C-9297-D9CBBBF82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452438</xdr:colOff>
      <xdr:row>79</xdr:row>
      <xdr:rowOff>166688</xdr:rowOff>
    </xdr:from>
    <xdr:to>
      <xdr:col>4</xdr:col>
      <xdr:colOff>423863</xdr:colOff>
      <xdr:row>94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2B31887-894B-4BA5-87F4-89D0168239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52161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80</xdr:row>
      <xdr:rowOff>20732</xdr:rowOff>
    </xdr:from>
    <xdr:to>
      <xdr:col>12</xdr:col>
      <xdr:colOff>273706</xdr:colOff>
      <xdr:row>94</xdr:row>
      <xdr:rowOff>96932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62F418-ACF4-451E-850C-68185213B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452438</xdr:colOff>
      <xdr:row>94</xdr:row>
      <xdr:rowOff>166688</xdr:rowOff>
    </xdr:from>
    <xdr:to>
      <xdr:col>4</xdr:col>
      <xdr:colOff>423863</xdr:colOff>
      <xdr:row>109</xdr:row>
      <xdr:rowOff>52388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FF1752C-1FD6-45C7-A742-FA6922D36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8" y="18073688"/>
              <a:ext cx="462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574023</xdr:colOff>
      <xdr:row>95</xdr:row>
      <xdr:rowOff>20732</xdr:rowOff>
    </xdr:from>
    <xdr:to>
      <xdr:col>12</xdr:col>
      <xdr:colOff>273706</xdr:colOff>
      <xdr:row>109</xdr:row>
      <xdr:rowOff>96932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DE1C50-3B95-4064-8F32-F048691FF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336177</xdr:colOff>
      <xdr:row>49</xdr:row>
      <xdr:rowOff>145678</xdr:rowOff>
    </xdr:from>
    <xdr:to>
      <xdr:col>23</xdr:col>
      <xdr:colOff>280149</xdr:colOff>
      <xdr:row>65</xdr:row>
      <xdr:rowOff>98612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3FA972-5830-47E2-A97E-75C0EA3CD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448237</xdr:colOff>
      <xdr:row>34</xdr:row>
      <xdr:rowOff>78441</xdr:rowOff>
    </xdr:from>
    <xdr:to>
      <xdr:col>23</xdr:col>
      <xdr:colOff>168089</xdr:colOff>
      <xdr:row>49</xdr:row>
      <xdr:rowOff>98609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C36E56-B229-4949-8A4D-D61245E02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404431</xdr:colOff>
      <xdr:row>66</xdr:row>
      <xdr:rowOff>86591</xdr:rowOff>
    </xdr:from>
    <xdr:to>
      <xdr:col>23</xdr:col>
      <xdr:colOff>277091</xdr:colOff>
      <xdr:row>88</xdr:row>
      <xdr:rowOff>176361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398C75-57D5-48B7-8758-D47F8A223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484909</xdr:colOff>
      <xdr:row>89</xdr:row>
      <xdr:rowOff>138545</xdr:rowOff>
    </xdr:from>
    <xdr:to>
      <xdr:col>23</xdr:col>
      <xdr:colOff>357569</xdr:colOff>
      <xdr:row>112</xdr:row>
      <xdr:rowOff>37815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22E39FA-FF9D-43AD-8108-460D4FA0C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35</xdr:row>
      <xdr:rowOff>54909</xdr:rowOff>
    </xdr:from>
    <xdr:to>
      <xdr:col>4</xdr:col>
      <xdr:colOff>57150</xdr:colOff>
      <xdr:row>49</xdr:row>
      <xdr:rowOff>131109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D0EC2D-273F-4CCD-9FD4-5753A34CC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6722409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207310</xdr:colOff>
      <xdr:row>35</xdr:row>
      <xdr:rowOff>99453</xdr:rowOff>
    </xdr:from>
    <xdr:to>
      <xdr:col>11</xdr:col>
      <xdr:colOff>516593</xdr:colOff>
      <xdr:row>49</xdr:row>
      <xdr:rowOff>175653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2CCED-350C-4EBE-9567-538A33554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155482</xdr:rowOff>
    </xdr:from>
    <xdr:to>
      <xdr:col>3</xdr:col>
      <xdr:colOff>595033</xdr:colOff>
      <xdr:row>65</xdr:row>
      <xdr:rowOff>41182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1EAEC89-A7D9-4E23-8D98-FBF8DE5D2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80482"/>
              <a:ext cx="48336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135593</xdr:colOff>
      <xdr:row>51</xdr:row>
      <xdr:rowOff>9526</xdr:rowOff>
    </xdr:from>
    <xdr:to>
      <xdr:col>11</xdr:col>
      <xdr:colOff>444876</xdr:colOff>
      <xdr:row>65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A97CDB-EC34-427E-985C-745E8F98E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65</xdr:row>
      <xdr:rowOff>88247</xdr:rowOff>
    </xdr:from>
    <xdr:to>
      <xdr:col>4</xdr:col>
      <xdr:colOff>19050</xdr:colOff>
      <xdr:row>79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6CE1F7C-98F6-4D95-AE05-CCB27FC11A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24707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65</xdr:row>
      <xdr:rowOff>132791</xdr:rowOff>
    </xdr:from>
    <xdr:to>
      <xdr:col>11</xdr:col>
      <xdr:colOff>478493</xdr:colOff>
      <xdr:row>80</xdr:row>
      <xdr:rowOff>18491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01480C-2935-40D4-B0F2-20C3EF224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80</xdr:row>
      <xdr:rowOff>88247</xdr:rowOff>
    </xdr:from>
    <xdr:to>
      <xdr:col>4</xdr:col>
      <xdr:colOff>19050</xdr:colOff>
      <xdr:row>94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ACBB604-1B38-42D3-8E27-8C1DCAAE22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53282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80</xdr:row>
      <xdr:rowOff>132791</xdr:rowOff>
    </xdr:from>
    <xdr:to>
      <xdr:col>11</xdr:col>
      <xdr:colOff>478493</xdr:colOff>
      <xdr:row>95</xdr:row>
      <xdr:rowOff>18491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507231-C4EF-4EAC-9C26-19F92D968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95</xdr:row>
      <xdr:rowOff>88247</xdr:rowOff>
    </xdr:from>
    <xdr:to>
      <xdr:col>4</xdr:col>
      <xdr:colOff>19050</xdr:colOff>
      <xdr:row>109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F018EC2-AD9E-41B3-BA4C-8DDC48B18B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81857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95</xdr:row>
      <xdr:rowOff>132791</xdr:rowOff>
    </xdr:from>
    <xdr:to>
      <xdr:col>11</xdr:col>
      <xdr:colOff>478493</xdr:colOff>
      <xdr:row>110</xdr:row>
      <xdr:rowOff>18491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D8458A-7E81-4174-9EB8-E953460A9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540964</xdr:colOff>
      <xdr:row>50</xdr:row>
      <xdr:rowOff>67237</xdr:rowOff>
    </xdr:from>
    <xdr:to>
      <xdr:col>22</xdr:col>
      <xdr:colOff>484936</xdr:colOff>
      <xdr:row>66</xdr:row>
      <xdr:rowOff>20171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823E64-5B4A-4636-AA68-617470008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43424</xdr:colOff>
      <xdr:row>35</xdr:row>
      <xdr:rowOff>0</xdr:rowOff>
    </xdr:from>
    <xdr:to>
      <xdr:col>22</xdr:col>
      <xdr:colOff>372876</xdr:colOff>
      <xdr:row>50</xdr:row>
      <xdr:rowOff>20168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3A7A31-C6C9-4DB0-9533-DB8FC45EB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609218</xdr:colOff>
      <xdr:row>67</xdr:row>
      <xdr:rowOff>8150</xdr:rowOff>
    </xdr:from>
    <xdr:to>
      <xdr:col>22</xdr:col>
      <xdr:colOff>481878</xdr:colOff>
      <xdr:row>89</xdr:row>
      <xdr:rowOff>97920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223B966-F541-4349-8F50-D5581E765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80096</xdr:colOff>
      <xdr:row>90</xdr:row>
      <xdr:rowOff>60104</xdr:rowOff>
    </xdr:from>
    <xdr:to>
      <xdr:col>22</xdr:col>
      <xdr:colOff>562356</xdr:colOff>
      <xdr:row>112</xdr:row>
      <xdr:rowOff>149874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44BE7F2-1A8B-42C5-A3E6-E41342CBE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95</xdr:row>
      <xdr:rowOff>84366</xdr:rowOff>
    </xdr:from>
    <xdr:to>
      <xdr:col>26</xdr:col>
      <xdr:colOff>650697</xdr:colOff>
      <xdr:row>117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72B75-420F-2B2E-B377-EB0D9FE1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455683</xdr:colOff>
      <xdr:row>120</xdr:row>
      <xdr:rowOff>37548</xdr:rowOff>
    </xdr:from>
    <xdr:to>
      <xdr:col>26</xdr:col>
      <xdr:colOff>649009</xdr:colOff>
      <xdr:row>142</xdr:row>
      <xdr:rowOff>73533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5CC54-CD42-4B5B-B8D6-8FB4344A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237108</xdr:colOff>
      <xdr:row>143</xdr:row>
      <xdr:rowOff>84166</xdr:rowOff>
    </xdr:from>
    <xdr:to>
      <xdr:col>26</xdr:col>
      <xdr:colOff>651341</xdr:colOff>
      <xdr:row>165</xdr:row>
      <xdr:rowOff>120151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7919F-7E64-4558-910D-8B5156470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650743</xdr:colOff>
      <xdr:row>194</xdr:row>
      <xdr:rowOff>63038</xdr:rowOff>
    </xdr:from>
    <xdr:to>
      <xdr:col>26</xdr:col>
      <xdr:colOff>649482</xdr:colOff>
      <xdr:row>216</xdr:row>
      <xdr:rowOff>99023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F694C8-FDDA-4C29-8E15-3016C00BA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319118</xdr:colOff>
      <xdr:row>93</xdr:row>
      <xdr:rowOff>159624</xdr:rowOff>
    </xdr:from>
    <xdr:to>
      <xdr:col>33</xdr:col>
      <xdr:colOff>76200</xdr:colOff>
      <xdr:row>117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64317F-E4BB-408B-AA69-AE0BA91C1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291378</xdr:colOff>
      <xdr:row>119</xdr:row>
      <xdr:rowOff>31704</xdr:rowOff>
    </xdr:from>
    <xdr:to>
      <xdr:col>33</xdr:col>
      <xdr:colOff>79233</xdr:colOff>
      <xdr:row>142</xdr:row>
      <xdr:rowOff>59740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DB5312-DEE3-498E-A05C-52113980C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311549</xdr:colOff>
      <xdr:row>146</xdr:row>
      <xdr:rowOff>144485</xdr:rowOff>
    </xdr:from>
    <xdr:to>
      <xdr:col>33</xdr:col>
      <xdr:colOff>80354</xdr:colOff>
      <xdr:row>169</xdr:row>
      <xdr:rowOff>178171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36F3C3-1B64-45B2-B881-9D16D3E80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412401</xdr:colOff>
      <xdr:row>199</xdr:row>
      <xdr:rowOff>33527</xdr:rowOff>
    </xdr:from>
    <xdr:to>
      <xdr:col>33</xdr:col>
      <xdr:colOff>76431</xdr:colOff>
      <xdr:row>222</xdr:row>
      <xdr:rowOff>49565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BC1263-6171-403A-9FB5-D99044CF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573521</xdr:colOff>
      <xdr:row>94</xdr:row>
      <xdr:rowOff>29095</xdr:rowOff>
    </xdr:from>
    <xdr:to>
      <xdr:col>52</xdr:col>
      <xdr:colOff>470767</xdr:colOff>
      <xdr:row>116</xdr:row>
      <xdr:rowOff>121920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9DCFB-A9FA-4210-A8FC-626DCE2FA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630024</xdr:colOff>
      <xdr:row>119</xdr:row>
      <xdr:rowOff>102870</xdr:rowOff>
    </xdr:from>
    <xdr:to>
      <xdr:col>52</xdr:col>
      <xdr:colOff>470546</xdr:colOff>
      <xdr:row>142</xdr:row>
      <xdr:rowOff>20435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6A9909-B4D1-4F27-BD18-F27B8D00F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559068</xdr:colOff>
      <xdr:row>145</xdr:row>
      <xdr:rowOff>53340</xdr:rowOff>
    </xdr:from>
    <xdr:to>
      <xdr:col>52</xdr:col>
      <xdr:colOff>476732</xdr:colOff>
      <xdr:row>167</xdr:row>
      <xdr:rowOff>146165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CA4D9E-D7B4-42BD-9B75-B1B05683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835775</xdr:colOff>
      <xdr:row>195</xdr:row>
      <xdr:rowOff>186690</xdr:rowOff>
    </xdr:from>
    <xdr:to>
      <xdr:col>53</xdr:col>
      <xdr:colOff>57151</xdr:colOff>
      <xdr:row>218</xdr:row>
      <xdr:rowOff>96635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9E5E661-885D-495B-9DDD-B2B2DA229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457200</xdr:colOff>
      <xdr:row>94</xdr:row>
      <xdr:rowOff>187098</xdr:rowOff>
    </xdr:from>
    <xdr:to>
      <xdr:col>87</xdr:col>
      <xdr:colOff>438150</xdr:colOff>
      <xdr:row>116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8DC863-9129-F95C-1852-02AF4375F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481013</xdr:colOff>
      <xdr:row>119</xdr:row>
      <xdr:rowOff>47626</xdr:rowOff>
    </xdr:from>
    <xdr:to>
      <xdr:col>87</xdr:col>
      <xdr:colOff>461963</xdr:colOff>
      <xdr:row>140</xdr:row>
      <xdr:rowOff>74840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0DC025-6A8B-4510-BDEB-9B3BA382E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504825</xdr:colOff>
      <xdr:row>143</xdr:row>
      <xdr:rowOff>142875</xdr:rowOff>
    </xdr:from>
    <xdr:to>
      <xdr:col>87</xdr:col>
      <xdr:colOff>485775</xdr:colOff>
      <xdr:row>164</xdr:row>
      <xdr:rowOff>170089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2BAA1A-B54F-4B1F-9297-A5473E3CF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72</xdr:col>
      <xdr:colOff>338137</xdr:colOff>
      <xdr:row>194</xdr:row>
      <xdr:rowOff>95250</xdr:rowOff>
    </xdr:from>
    <xdr:to>
      <xdr:col>88</xdr:col>
      <xdr:colOff>319087</xdr:colOff>
      <xdr:row>215</xdr:row>
      <xdr:rowOff>122464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8852CC-EDDB-4BD8-904D-5B58A9CC5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106</xdr:col>
      <xdr:colOff>233363</xdr:colOff>
      <xdr:row>95</xdr:row>
      <xdr:rowOff>47625</xdr:rowOff>
    </xdr:from>
    <xdr:to>
      <xdr:col>121</xdr:col>
      <xdr:colOff>328612</xdr:colOff>
      <xdr:row>116</xdr:row>
      <xdr:rowOff>74839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139AF65-2564-4E63-94A5-230C7197B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106</xdr:col>
      <xdr:colOff>185737</xdr:colOff>
      <xdr:row>119</xdr:row>
      <xdr:rowOff>0</xdr:rowOff>
    </xdr:from>
    <xdr:to>
      <xdr:col>121</xdr:col>
      <xdr:colOff>280986</xdr:colOff>
      <xdr:row>140</xdr:row>
      <xdr:rowOff>27214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7EF0989-FFA0-4604-8647-AEE56660B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106</xdr:col>
      <xdr:colOff>257175</xdr:colOff>
      <xdr:row>144</xdr:row>
      <xdr:rowOff>47625</xdr:rowOff>
    </xdr:from>
    <xdr:to>
      <xdr:col>121</xdr:col>
      <xdr:colOff>352424</xdr:colOff>
      <xdr:row>165</xdr:row>
      <xdr:rowOff>74839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EDF9A1D-CE5A-4DAA-A4BA-C65249EEF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107</xdr:col>
      <xdr:colOff>304800</xdr:colOff>
      <xdr:row>194</xdr:row>
      <xdr:rowOff>95250</xdr:rowOff>
    </xdr:from>
    <xdr:to>
      <xdr:col>122</xdr:col>
      <xdr:colOff>400049</xdr:colOff>
      <xdr:row>215</xdr:row>
      <xdr:rowOff>122464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905ED3C-61B6-43CE-96CF-88F5882C8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107</xdr:col>
      <xdr:colOff>90488</xdr:colOff>
      <xdr:row>167</xdr:row>
      <xdr:rowOff>66675</xdr:rowOff>
    </xdr:from>
    <xdr:to>
      <xdr:col>122</xdr:col>
      <xdr:colOff>185737</xdr:colOff>
      <xdr:row>188</xdr:row>
      <xdr:rowOff>93889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41076D4-6E74-4D92-9296-8CB1B253A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34</xdr:col>
      <xdr:colOff>531353</xdr:colOff>
      <xdr:row>93</xdr:row>
      <xdr:rowOff>91848</xdr:rowOff>
    </xdr:from>
    <xdr:to>
      <xdr:col>43</xdr:col>
      <xdr:colOff>1764825</xdr:colOff>
      <xdr:row>116</xdr:row>
      <xdr:rowOff>141774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109096-3C7A-4763-8B77-9BE3A05F7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34</xdr:col>
      <xdr:colOff>512210</xdr:colOff>
      <xdr:row>118</xdr:row>
      <xdr:rowOff>166687</xdr:rowOff>
    </xdr:from>
    <xdr:to>
      <xdr:col>43</xdr:col>
      <xdr:colOff>1658780</xdr:colOff>
      <xdr:row>142</xdr:row>
      <xdr:rowOff>26113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AE0247D-DCC8-4F82-80CF-CC4D22100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477373</xdr:colOff>
      <xdr:row>146</xdr:row>
      <xdr:rowOff>119062</xdr:rowOff>
    </xdr:from>
    <xdr:to>
      <xdr:col>43</xdr:col>
      <xdr:colOff>1493591</xdr:colOff>
      <xdr:row>169</xdr:row>
      <xdr:rowOff>168988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1E06F4B-72E2-4A9C-B1D3-67AF08C4A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487542</xdr:colOff>
      <xdr:row>199</xdr:row>
      <xdr:rowOff>0</xdr:rowOff>
    </xdr:from>
    <xdr:to>
      <xdr:col>43</xdr:col>
      <xdr:colOff>1559624</xdr:colOff>
      <xdr:row>222</xdr:row>
      <xdr:rowOff>49926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8DCF725-2E95-4787-BA6E-48F5B68BE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177</xdr:col>
      <xdr:colOff>280555</xdr:colOff>
      <xdr:row>94</xdr:row>
      <xdr:rowOff>79664</xdr:rowOff>
    </xdr:from>
    <xdr:to>
      <xdr:col>195</xdr:col>
      <xdr:colOff>163830</xdr:colOff>
      <xdr:row>116</xdr:row>
      <xdr:rowOff>172489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D2FB07F-D29C-419B-ACC1-04B723B22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158</xdr:col>
      <xdr:colOff>539110</xdr:colOff>
      <xdr:row>16</xdr:row>
      <xdr:rowOff>30480</xdr:rowOff>
    </xdr:from>
    <xdr:to>
      <xdr:col>179</xdr:col>
      <xdr:colOff>215092</xdr:colOff>
      <xdr:row>45</xdr:row>
      <xdr:rowOff>75330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F72EA0C-7FB8-CDA0-C506-FAE63FBBB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177</xdr:col>
      <xdr:colOff>266700</xdr:colOff>
      <xdr:row>118</xdr:row>
      <xdr:rowOff>38100</xdr:rowOff>
    </xdr:from>
    <xdr:to>
      <xdr:col>195</xdr:col>
      <xdr:colOff>149975</xdr:colOff>
      <xdr:row>140</xdr:row>
      <xdr:rowOff>130925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963F166-E378-4A44-BFC8-15DE69CB8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177</xdr:col>
      <xdr:colOff>419100</xdr:colOff>
      <xdr:row>143</xdr:row>
      <xdr:rowOff>0</xdr:rowOff>
    </xdr:from>
    <xdr:to>
      <xdr:col>195</xdr:col>
      <xdr:colOff>264275</xdr:colOff>
      <xdr:row>165</xdr:row>
      <xdr:rowOff>92825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4CEA40C-FEC5-49CC-AA3B-8D2EDD665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178</xdr:col>
      <xdr:colOff>342900</xdr:colOff>
      <xdr:row>195</xdr:row>
      <xdr:rowOff>19050</xdr:rowOff>
    </xdr:from>
    <xdr:to>
      <xdr:col>196</xdr:col>
      <xdr:colOff>188075</xdr:colOff>
      <xdr:row>217</xdr:row>
      <xdr:rowOff>111875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C91857A1-E41A-4B23-BA9C-7C616C56A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160</xdr:col>
      <xdr:colOff>13113</xdr:colOff>
      <xdr:row>96</xdr:row>
      <xdr:rowOff>34618</xdr:rowOff>
    </xdr:from>
    <xdr:to>
      <xdr:col>176</xdr:col>
      <xdr:colOff>303563</xdr:colOff>
      <xdr:row>119</xdr:row>
      <xdr:rowOff>1998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A5A05EA8-2A2A-3824-0E17-BD8270D89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159</xdr:col>
      <xdr:colOff>495300</xdr:colOff>
      <xdr:row>121</xdr:row>
      <xdr:rowOff>29917</xdr:rowOff>
    </xdr:from>
    <xdr:to>
      <xdr:col>176</xdr:col>
      <xdr:colOff>217714</xdr:colOff>
      <xdr:row>143</xdr:row>
      <xdr:rowOff>187797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FA55A5E9-AE62-407B-B105-0F3C3FB9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160</xdr:col>
      <xdr:colOff>78538</xdr:colOff>
      <xdr:row>145</xdr:row>
      <xdr:rowOff>117005</xdr:rowOff>
    </xdr:from>
    <xdr:to>
      <xdr:col>176</xdr:col>
      <xdr:colOff>335120</xdr:colOff>
      <xdr:row>168</xdr:row>
      <xdr:rowOff>84385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3C64CD1-E58F-4208-AA57-151927081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160</xdr:col>
      <xdr:colOff>358845</xdr:colOff>
      <xdr:row>196</xdr:row>
      <xdr:rowOff>70740</xdr:rowOff>
    </xdr:from>
    <xdr:to>
      <xdr:col>177</xdr:col>
      <xdr:colOff>43927</xdr:colOff>
      <xdr:row>219</xdr:row>
      <xdr:rowOff>38120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61ED4651-7C9D-4DD4-9C11-1850A8076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122</xdr:col>
      <xdr:colOff>214746</xdr:colOff>
      <xdr:row>95</xdr:row>
      <xdr:rowOff>38100</xdr:rowOff>
    </xdr:from>
    <xdr:to>
      <xdr:col>140</xdr:col>
      <xdr:colOff>98021</xdr:colOff>
      <xdr:row>117</xdr:row>
      <xdr:rowOff>130925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AA478B29-D6FB-4202-84E5-413DE579A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122</xdr:col>
      <xdr:colOff>266700</xdr:colOff>
      <xdr:row>120</xdr:row>
      <xdr:rowOff>111875</xdr:rowOff>
    </xdr:from>
    <xdr:to>
      <xdr:col>140</xdr:col>
      <xdr:colOff>111875</xdr:colOff>
      <xdr:row>143</xdr:row>
      <xdr:rowOff>29440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53A5FE0C-E219-4561-B132-11F5F2A72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122</xdr:col>
      <xdr:colOff>201930</xdr:colOff>
      <xdr:row>146</xdr:row>
      <xdr:rowOff>62345</xdr:rowOff>
    </xdr:from>
    <xdr:to>
      <xdr:col>140</xdr:col>
      <xdr:colOff>16625</xdr:colOff>
      <xdr:row>168</xdr:row>
      <xdr:rowOff>155170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999751F-C470-4853-938B-9457D90A3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122</xdr:col>
      <xdr:colOff>563880</xdr:colOff>
      <xdr:row>197</xdr:row>
      <xdr:rowOff>5195</xdr:rowOff>
    </xdr:from>
    <xdr:to>
      <xdr:col>140</xdr:col>
      <xdr:colOff>378575</xdr:colOff>
      <xdr:row>219</xdr:row>
      <xdr:rowOff>105640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13FEC248-6DCF-4E9E-9C68-6E270A2C2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140</xdr:col>
      <xdr:colOff>490105</xdr:colOff>
      <xdr:row>97</xdr:row>
      <xdr:rowOff>0</xdr:rowOff>
    </xdr:from>
    <xdr:to>
      <xdr:col>158</xdr:col>
      <xdr:colOff>373380</xdr:colOff>
      <xdr:row>119</xdr:row>
      <xdr:rowOff>92825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A500284-B91E-4D99-9F6E-70B97374F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140</xdr:col>
      <xdr:colOff>476250</xdr:colOff>
      <xdr:row>120</xdr:row>
      <xdr:rowOff>148936</xdr:rowOff>
    </xdr:from>
    <xdr:to>
      <xdr:col>158</xdr:col>
      <xdr:colOff>359525</xdr:colOff>
      <xdr:row>143</xdr:row>
      <xdr:rowOff>51261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929C473B-8975-4D87-8BFB-84C1CCDA8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141</xdr:col>
      <xdr:colOff>57150</xdr:colOff>
      <xdr:row>145</xdr:row>
      <xdr:rowOff>110836</xdr:rowOff>
    </xdr:from>
    <xdr:to>
      <xdr:col>158</xdr:col>
      <xdr:colOff>473825</xdr:colOff>
      <xdr:row>168</xdr:row>
      <xdr:rowOff>13161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3EBB1F7C-8F45-48E8-B7DE-7B83E523F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141</xdr:col>
      <xdr:colOff>552450</xdr:colOff>
      <xdr:row>197</xdr:row>
      <xdr:rowOff>129886</xdr:rowOff>
    </xdr:from>
    <xdr:to>
      <xdr:col>159</xdr:col>
      <xdr:colOff>397625</xdr:colOff>
      <xdr:row>220</xdr:row>
      <xdr:rowOff>32211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CFAA8BA-DC62-4FB0-BEE5-69E7D0F17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196</xdr:col>
      <xdr:colOff>565563</xdr:colOff>
      <xdr:row>95</xdr:row>
      <xdr:rowOff>0</xdr:rowOff>
    </xdr:from>
    <xdr:to>
      <xdr:col>213</xdr:col>
      <xdr:colOff>284513</xdr:colOff>
      <xdr:row>117</xdr:row>
      <xdr:rowOff>157880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10DAC437-1841-444E-AA89-D84296A5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196</xdr:col>
      <xdr:colOff>476250</xdr:colOff>
      <xdr:row>119</xdr:row>
      <xdr:rowOff>185799</xdr:rowOff>
    </xdr:from>
    <xdr:to>
      <xdr:col>213</xdr:col>
      <xdr:colOff>198664</xdr:colOff>
      <xdr:row>142</xdr:row>
      <xdr:rowOff>153179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A961B600-0F50-42EF-95ED-DB60E4C5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197</xdr:col>
      <xdr:colOff>59488</xdr:colOff>
      <xdr:row>144</xdr:row>
      <xdr:rowOff>82387</xdr:rowOff>
    </xdr:from>
    <xdr:to>
      <xdr:col>213</xdr:col>
      <xdr:colOff>316070</xdr:colOff>
      <xdr:row>167</xdr:row>
      <xdr:rowOff>49767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3A1EC859-96A7-4EFA-8131-5F1123172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197</xdr:col>
      <xdr:colOff>339795</xdr:colOff>
      <xdr:row>195</xdr:row>
      <xdr:rowOff>36122</xdr:rowOff>
    </xdr:from>
    <xdr:to>
      <xdr:col>214</xdr:col>
      <xdr:colOff>24877</xdr:colOff>
      <xdr:row>218</xdr:row>
      <xdr:rowOff>3502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2673CE47-E1FD-4FE2-A2EB-5F221432B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53</xdr:col>
      <xdr:colOff>350153</xdr:colOff>
      <xdr:row>94</xdr:row>
      <xdr:rowOff>0</xdr:rowOff>
    </xdr:from>
    <xdr:to>
      <xdr:col>68</xdr:col>
      <xdr:colOff>553165</xdr:colOff>
      <xdr:row>116</xdr:row>
      <xdr:rowOff>92825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5F0A05B-EB59-4AE2-AA64-7C76CE20A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53</xdr:col>
      <xdr:colOff>402107</xdr:colOff>
      <xdr:row>119</xdr:row>
      <xdr:rowOff>73775</xdr:rowOff>
    </xdr:from>
    <xdr:to>
      <xdr:col>69</xdr:col>
      <xdr:colOff>33619</xdr:colOff>
      <xdr:row>141</xdr:row>
      <xdr:rowOff>181840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A6E035F7-2084-4CB3-B93A-C95F9DEB4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53</xdr:col>
      <xdr:colOff>332029</xdr:colOff>
      <xdr:row>145</xdr:row>
      <xdr:rowOff>24245</xdr:rowOff>
    </xdr:from>
    <xdr:to>
      <xdr:col>68</xdr:col>
      <xdr:colOff>515177</xdr:colOff>
      <xdr:row>167</xdr:row>
      <xdr:rowOff>117070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ADCA5DCE-BFF5-40DA-ADC7-D0DED3F4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54</xdr:col>
      <xdr:colOff>122479</xdr:colOff>
      <xdr:row>195</xdr:row>
      <xdr:rowOff>157595</xdr:rowOff>
    </xdr:from>
    <xdr:to>
      <xdr:col>69</xdr:col>
      <xdr:colOff>305627</xdr:colOff>
      <xdr:row>218</xdr:row>
      <xdr:rowOff>67540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84F22571-A6C9-44B1-AA99-76E58939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159</xdr:col>
      <xdr:colOff>64770</xdr:colOff>
      <xdr:row>47</xdr:row>
      <xdr:rowOff>91440</xdr:rowOff>
    </xdr:from>
    <xdr:to>
      <xdr:col>179</xdr:col>
      <xdr:colOff>415290</xdr:colOff>
      <xdr:row>74</xdr:row>
      <xdr:rowOff>30480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C1B35C81-2CAC-4195-BB3B-D7097B29D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73</xdr:col>
      <xdr:colOff>438149</xdr:colOff>
      <xdr:row>65</xdr:row>
      <xdr:rowOff>13411</xdr:rowOff>
    </xdr:from>
    <xdr:to>
      <xdr:col>93</xdr:col>
      <xdr:colOff>263218</xdr:colOff>
      <xdr:row>90</xdr:row>
      <xdr:rowOff>142874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AD34A70-88D6-42B0-A0EC-E01CD15C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116</xdr:col>
      <xdr:colOff>389833</xdr:colOff>
      <xdr:row>33</xdr:row>
      <xdr:rowOff>69463</xdr:rowOff>
    </xdr:from>
    <xdr:to>
      <xdr:col>135</xdr:col>
      <xdr:colOff>1039</xdr:colOff>
      <xdr:row>60</xdr:row>
      <xdr:rowOff>158779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3788053-3180-463F-B984-7928534C4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116</xdr:col>
      <xdr:colOff>415464</xdr:colOff>
      <xdr:row>65</xdr:row>
      <xdr:rowOff>34278</xdr:rowOff>
    </xdr:from>
    <xdr:to>
      <xdr:col>135</xdr:col>
      <xdr:colOff>26670</xdr:colOff>
      <xdr:row>92</xdr:row>
      <xdr:rowOff>91440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1E16635-70C3-41BC-9722-71D9D6318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136</xdr:col>
      <xdr:colOff>538597</xdr:colOff>
      <xdr:row>3</xdr:row>
      <xdr:rowOff>160312</xdr:rowOff>
    </xdr:from>
    <xdr:to>
      <xdr:col>157</xdr:col>
      <xdr:colOff>509586</xdr:colOff>
      <xdr:row>29</xdr:row>
      <xdr:rowOff>41910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26C482C-80DC-4A63-9A43-68EC54D89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136</xdr:col>
      <xdr:colOff>381000</xdr:colOff>
      <xdr:row>33</xdr:row>
      <xdr:rowOff>0</xdr:rowOff>
    </xdr:from>
    <xdr:to>
      <xdr:col>157</xdr:col>
      <xdr:colOff>422910</xdr:colOff>
      <xdr:row>60</xdr:row>
      <xdr:rowOff>175260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9DA6191-CBDC-4580-B8B5-034A787A0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137</xdr:col>
      <xdr:colOff>38100</xdr:colOff>
      <xdr:row>63</xdr:row>
      <xdr:rowOff>133350</xdr:rowOff>
    </xdr:from>
    <xdr:to>
      <xdr:col>157</xdr:col>
      <xdr:colOff>312420</xdr:colOff>
      <xdr:row>90</xdr:row>
      <xdr:rowOff>72390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A00A8BD-F364-4701-A318-A0578AF7C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73</xdr:col>
      <xdr:colOff>458931</xdr:colOff>
      <xdr:row>2</xdr:row>
      <xdr:rowOff>173182</xdr:rowOff>
    </xdr:from>
    <xdr:to>
      <xdr:col>92</xdr:col>
      <xdr:colOff>523874</xdr:colOff>
      <xdr:row>30</xdr:row>
      <xdr:rowOff>119062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7E1B0C7-312A-478F-9AD6-1E6ED5DA7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95</xdr:col>
      <xdr:colOff>412913</xdr:colOff>
      <xdr:row>31</xdr:row>
      <xdr:rowOff>57149</xdr:rowOff>
    </xdr:from>
    <xdr:to>
      <xdr:col>114</xdr:col>
      <xdr:colOff>453610</xdr:colOff>
      <xdr:row>59</xdr:row>
      <xdr:rowOff>24059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0739E0B-DAA5-4769-8CBF-6369C24EC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95</xdr:col>
      <xdr:colOff>489856</xdr:colOff>
      <xdr:row>61</xdr:row>
      <xdr:rowOff>79416</xdr:rowOff>
    </xdr:from>
    <xdr:to>
      <xdr:col>114</xdr:col>
      <xdr:colOff>530553</xdr:colOff>
      <xdr:row>89</xdr:row>
      <xdr:rowOff>7978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763D204F-E070-4F35-8F9B-B89B72E85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95</xdr:col>
      <xdr:colOff>401782</xdr:colOff>
      <xdr:row>2</xdr:row>
      <xdr:rowOff>178378</xdr:rowOff>
    </xdr:from>
    <xdr:to>
      <xdr:col>114</xdr:col>
      <xdr:colOff>442479</xdr:colOff>
      <xdr:row>30</xdr:row>
      <xdr:rowOff>127969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A640BB3-FD72-4A44-9A87-C265C7EF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116</xdr:col>
      <xdr:colOff>233362</xdr:colOff>
      <xdr:row>3</xdr:row>
      <xdr:rowOff>76200</xdr:rowOff>
    </xdr:from>
    <xdr:to>
      <xdr:col>135</xdr:col>
      <xdr:colOff>125556</xdr:colOff>
      <xdr:row>30</xdr:row>
      <xdr:rowOff>165516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2ADFD78-0A6D-47DD-9F79-8ED11D304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73</xdr:col>
      <xdr:colOff>381000</xdr:colOff>
      <xdr:row>33</xdr:row>
      <xdr:rowOff>105642</xdr:rowOff>
    </xdr:from>
    <xdr:to>
      <xdr:col>93</xdr:col>
      <xdr:colOff>98280</xdr:colOff>
      <xdr:row>61</xdr:row>
      <xdr:rowOff>72550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2482C46-7853-4C71-8A65-44D1632AF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89</xdr:col>
      <xdr:colOff>588508</xdr:colOff>
      <xdr:row>94</xdr:row>
      <xdr:rowOff>156483</xdr:rowOff>
    </xdr:from>
    <xdr:to>
      <xdr:col>105</xdr:col>
      <xdr:colOff>71436</xdr:colOff>
      <xdr:row>115</xdr:row>
      <xdr:rowOff>183697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BE5FC4B-9268-4B54-8F81-2782E5CBC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89</xdr:col>
      <xdr:colOff>540884</xdr:colOff>
      <xdr:row>117</xdr:row>
      <xdr:rowOff>132671</xdr:rowOff>
    </xdr:from>
    <xdr:to>
      <xdr:col>105</xdr:col>
      <xdr:colOff>23812</xdr:colOff>
      <xdr:row>138</xdr:row>
      <xdr:rowOff>159885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621B832-304D-4E89-88C9-D05D7F80D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90</xdr:col>
      <xdr:colOff>0</xdr:colOff>
      <xdr:row>142</xdr:row>
      <xdr:rowOff>180296</xdr:rowOff>
    </xdr:from>
    <xdr:to>
      <xdr:col>105</xdr:col>
      <xdr:colOff>95250</xdr:colOff>
      <xdr:row>164</xdr:row>
      <xdr:rowOff>17010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1CA7E7D-0501-4C25-8DDE-61B726961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90</xdr:col>
      <xdr:colOff>238126</xdr:colOff>
      <xdr:row>193</xdr:row>
      <xdr:rowOff>23813</xdr:rowOff>
    </xdr:from>
    <xdr:to>
      <xdr:col>105</xdr:col>
      <xdr:colOff>333375</xdr:colOff>
      <xdr:row>214</xdr:row>
      <xdr:rowOff>51027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5C52322A-FCA2-4632-B986-9C0E1059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13</xdr:col>
      <xdr:colOff>258628</xdr:colOff>
      <xdr:row>167</xdr:row>
      <xdr:rowOff>64077</xdr:rowOff>
    </xdr:from>
    <xdr:to>
      <xdr:col>26</xdr:col>
      <xdr:colOff>649608</xdr:colOff>
      <xdr:row>189</xdr:row>
      <xdr:rowOff>100062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3B3492C-A8C1-4816-8F79-51F2EA64A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27</xdr:col>
      <xdr:colOff>404812</xdr:colOff>
      <xdr:row>172</xdr:row>
      <xdr:rowOff>166687</xdr:rowOff>
    </xdr:from>
    <xdr:to>
      <xdr:col>33</xdr:col>
      <xdr:colOff>78367</xdr:colOff>
      <xdr:row>195</xdr:row>
      <xdr:rowOff>182725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46D9A3B-C125-4FB5-AD5D-26770B290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34</xdr:col>
      <xdr:colOff>469509</xdr:colOff>
      <xdr:row>172</xdr:row>
      <xdr:rowOff>166687</xdr:rowOff>
    </xdr:from>
    <xdr:to>
      <xdr:col>43</xdr:col>
      <xdr:colOff>1491933</xdr:colOff>
      <xdr:row>196</xdr:row>
      <xdr:rowOff>26113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41279BF2-A611-46B6-8B33-5117CB295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44</xdr:col>
      <xdr:colOff>698984</xdr:colOff>
      <xdr:row>171</xdr:row>
      <xdr:rowOff>142875</xdr:rowOff>
    </xdr:from>
    <xdr:to>
      <xdr:col>52</xdr:col>
      <xdr:colOff>463498</xdr:colOff>
      <xdr:row>194</xdr:row>
      <xdr:rowOff>52820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1C06B78F-8D83-4333-9FFB-6F464C212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53</xdr:col>
      <xdr:colOff>411086</xdr:colOff>
      <xdr:row>170</xdr:row>
      <xdr:rowOff>142875</xdr:rowOff>
    </xdr:from>
    <xdr:to>
      <xdr:col>69</xdr:col>
      <xdr:colOff>22734</xdr:colOff>
      <xdr:row>193</xdr:row>
      <xdr:rowOff>52820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6FA561E-E426-4661-A844-ABCEE391E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72</xdr:col>
      <xdr:colOff>47625</xdr:colOff>
      <xdr:row>169</xdr:row>
      <xdr:rowOff>119062</xdr:rowOff>
    </xdr:from>
    <xdr:to>
      <xdr:col>88</xdr:col>
      <xdr:colOff>28575</xdr:colOff>
      <xdr:row>190</xdr:row>
      <xdr:rowOff>146276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39AEB3D-1449-469A-9335-B6159F5E9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90</xdr:col>
      <xdr:colOff>133350</xdr:colOff>
      <xdr:row>168</xdr:row>
      <xdr:rowOff>57150</xdr:rowOff>
    </xdr:from>
    <xdr:to>
      <xdr:col>105</xdr:col>
      <xdr:colOff>266699</xdr:colOff>
      <xdr:row>189</xdr:row>
      <xdr:rowOff>84364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56934543-C1EE-4E7E-AE5E-CB0C1C481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122</xdr:col>
      <xdr:colOff>476250</xdr:colOff>
      <xdr:row>171</xdr:row>
      <xdr:rowOff>95250</xdr:rowOff>
    </xdr:from>
    <xdr:to>
      <xdr:col>140</xdr:col>
      <xdr:colOff>290945</xdr:colOff>
      <xdr:row>194</xdr:row>
      <xdr:rowOff>5195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0979A87F-52FC-4C7F-AB07-05E43C1ED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141</xdr:col>
      <xdr:colOff>285750</xdr:colOff>
      <xdr:row>170</xdr:row>
      <xdr:rowOff>95250</xdr:rowOff>
    </xdr:from>
    <xdr:to>
      <xdr:col>159</xdr:col>
      <xdr:colOff>130925</xdr:colOff>
      <xdr:row>192</xdr:row>
      <xdr:rowOff>188075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E1D28A16-BB3B-43FB-AABB-9038AABD3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160</xdr:col>
      <xdr:colOff>95250</xdr:colOff>
      <xdr:row>170</xdr:row>
      <xdr:rowOff>95250</xdr:rowOff>
    </xdr:from>
    <xdr:to>
      <xdr:col>176</xdr:col>
      <xdr:colOff>351832</xdr:colOff>
      <xdr:row>193</xdr:row>
      <xdr:rowOff>62630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D9D3D3BB-3EBB-4E2D-8F62-2B7291184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177</xdr:col>
      <xdr:colOff>476250</xdr:colOff>
      <xdr:row>169</xdr:row>
      <xdr:rowOff>95250</xdr:rowOff>
    </xdr:from>
    <xdr:to>
      <xdr:col>195</xdr:col>
      <xdr:colOff>321425</xdr:colOff>
      <xdr:row>191</xdr:row>
      <xdr:rowOff>188075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26AFAED2-49B4-4B9B-A09C-3CF060BB0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197</xdr:col>
      <xdr:colOff>0</xdr:colOff>
      <xdr:row>169</xdr:row>
      <xdr:rowOff>0</xdr:rowOff>
    </xdr:from>
    <xdr:to>
      <xdr:col>213</xdr:col>
      <xdr:colOff>256582</xdr:colOff>
      <xdr:row>191</xdr:row>
      <xdr:rowOff>157880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93619B75-3FB7-47B6-8B32-162D02C80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0</xdr:col>
      <xdr:colOff>848793</xdr:colOff>
      <xdr:row>96</xdr:row>
      <xdr:rowOff>57150</xdr:rowOff>
    </xdr:from>
    <xdr:to>
      <xdr:col>6</xdr:col>
      <xdr:colOff>113629</xdr:colOff>
      <xdr:row>118</xdr:row>
      <xdr:rowOff>106134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0DA0E2-0BF8-44B3-A01B-11DCC5B81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0</xdr:col>
      <xdr:colOff>734556</xdr:colOff>
      <xdr:row>121</xdr:row>
      <xdr:rowOff>10332</xdr:rowOff>
    </xdr:from>
    <xdr:to>
      <xdr:col>6</xdr:col>
      <xdr:colOff>16690</xdr:colOff>
      <xdr:row>143</xdr:row>
      <xdr:rowOff>46317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E0DC5D-FC4D-4DE0-9416-3EA407C99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0</xdr:col>
      <xdr:colOff>1013114</xdr:colOff>
      <xdr:row>145</xdr:row>
      <xdr:rowOff>56950</xdr:rowOff>
    </xdr:from>
    <xdr:to>
      <xdr:col>5</xdr:col>
      <xdr:colOff>1723998</xdr:colOff>
      <xdr:row>167</xdr:row>
      <xdr:rowOff>92935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168EBA0-1B2B-4E2C-937D-3D703D3BF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0</xdr:col>
      <xdr:colOff>913491</xdr:colOff>
      <xdr:row>195</xdr:row>
      <xdr:rowOff>35822</xdr:rowOff>
    </xdr:from>
    <xdr:to>
      <xdr:col>6</xdr:col>
      <xdr:colOff>188613</xdr:colOff>
      <xdr:row>217</xdr:row>
      <xdr:rowOff>71807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46C4D33-5F26-4670-8A8F-B135E66AF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0</xdr:col>
      <xdr:colOff>1030431</xdr:colOff>
      <xdr:row>169</xdr:row>
      <xdr:rowOff>36861</xdr:rowOff>
    </xdr:from>
    <xdr:to>
      <xdr:col>5</xdr:col>
      <xdr:colOff>1741315</xdr:colOff>
      <xdr:row>191</xdr:row>
      <xdr:rowOff>72846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09D87AB-37CC-4795-984C-3F0CDBCE2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6</xdr:col>
      <xdr:colOff>673880</xdr:colOff>
      <xdr:row>96</xdr:row>
      <xdr:rowOff>0</xdr:rowOff>
    </xdr:from>
    <xdr:to>
      <xdr:col>13</xdr:col>
      <xdr:colOff>117068</xdr:colOff>
      <xdr:row>118</xdr:row>
      <xdr:rowOff>48984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888EE6A-8945-4583-9424-3C4BECA09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6</xdr:col>
      <xdr:colOff>559642</xdr:colOff>
      <xdr:row>120</xdr:row>
      <xdr:rowOff>143682</xdr:rowOff>
    </xdr:from>
    <xdr:to>
      <xdr:col>13</xdr:col>
      <xdr:colOff>17521</xdr:colOff>
      <xdr:row>142</xdr:row>
      <xdr:rowOff>179667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4F5979E1-E625-4455-80AE-CDB8BC3E2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6</xdr:col>
      <xdr:colOff>381000</xdr:colOff>
      <xdr:row>143</xdr:row>
      <xdr:rowOff>190300</xdr:rowOff>
    </xdr:from>
    <xdr:to>
      <xdr:col>12</xdr:col>
      <xdr:colOff>505629</xdr:colOff>
      <xdr:row>166</xdr:row>
      <xdr:rowOff>35785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56118292-0BE6-4392-BD70-201C76A45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6</xdr:col>
      <xdr:colOff>738577</xdr:colOff>
      <xdr:row>194</xdr:row>
      <xdr:rowOff>169172</xdr:rowOff>
    </xdr:from>
    <xdr:to>
      <xdr:col>13</xdr:col>
      <xdr:colOff>190500</xdr:colOff>
      <xdr:row>217</xdr:row>
      <xdr:rowOff>14657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65C1CC79-BC2B-4616-ACB3-3E9F3398D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6</xdr:col>
      <xdr:colOff>398317</xdr:colOff>
      <xdr:row>167</xdr:row>
      <xdr:rowOff>170211</xdr:rowOff>
    </xdr:from>
    <xdr:to>
      <xdr:col>12</xdr:col>
      <xdr:colOff>522946</xdr:colOff>
      <xdr:row>190</xdr:row>
      <xdr:rowOff>15696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71946292-5A49-431E-A079-808BC682C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52</xdr:col>
      <xdr:colOff>577995</xdr:colOff>
      <xdr:row>13</xdr:row>
      <xdr:rowOff>19484</xdr:rowOff>
    </xdr:from>
    <xdr:to>
      <xdr:col>72</xdr:col>
      <xdr:colOff>36802</xdr:colOff>
      <xdr:row>40</xdr:row>
      <xdr:rowOff>173181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32DD621C-9F9D-4870-8BC5-F9A79AA06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53</xdr:col>
      <xdr:colOff>0</xdr:colOff>
      <xdr:row>43</xdr:row>
      <xdr:rowOff>0</xdr:rowOff>
    </xdr:from>
    <xdr:to>
      <xdr:col>72</xdr:col>
      <xdr:colOff>64943</xdr:colOff>
      <xdr:row>70</xdr:row>
      <xdr:rowOff>153698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C12BFC5A-6EFF-495D-9CC4-F12D0CFB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897A-4AAA-49A1-A943-7E64FD77FE46}">
  <dimension ref="A1:C34"/>
  <sheetViews>
    <sheetView tabSelected="1" zoomScale="85" zoomScaleNormal="85" workbookViewId="0">
      <selection activeCell="M37" sqref="M37"/>
    </sheetView>
  </sheetViews>
  <sheetFormatPr defaultRowHeight="15" x14ac:dyDescent="0.25"/>
  <cols>
    <col min="1" max="1" width="25.140625" bestFit="1" customWidth="1"/>
    <col min="2" max="2" width="20.140625" bestFit="1" customWidth="1"/>
  </cols>
  <sheetData>
    <row r="1" spans="1:3" x14ac:dyDescent="0.25">
      <c r="A1" t="s">
        <v>1</v>
      </c>
      <c r="B1" t="s">
        <v>51</v>
      </c>
    </row>
    <row r="2" spans="1:3" x14ac:dyDescent="0.25">
      <c r="A2" t="s">
        <v>0</v>
      </c>
      <c r="B2" t="s">
        <v>30</v>
      </c>
    </row>
    <row r="3" spans="1:3" x14ac:dyDescent="0.25">
      <c r="A3" t="s">
        <v>72</v>
      </c>
      <c r="B3">
        <v>21</v>
      </c>
    </row>
    <row r="4" spans="1:3" x14ac:dyDescent="0.25">
      <c r="A4" t="s">
        <v>66</v>
      </c>
      <c r="B4">
        <v>17511</v>
      </c>
      <c r="C4">
        <f>ROUND(B4 / B4 * 100, 2)</f>
        <v>100</v>
      </c>
    </row>
    <row r="5" spans="1:3" x14ac:dyDescent="0.25">
      <c r="A5" t="s">
        <v>67</v>
      </c>
      <c r="B5">
        <v>17.100000000000001</v>
      </c>
      <c r="C5">
        <f>ROUND(B5 / B5 * 100, 2)</f>
        <v>100</v>
      </c>
    </row>
    <row r="6" spans="1:3" x14ac:dyDescent="0.25">
      <c r="A6" t="s">
        <v>71</v>
      </c>
      <c r="B6">
        <v>0.02</v>
      </c>
    </row>
    <row r="8" spans="1:3" x14ac:dyDescent="0.25">
      <c r="A8" t="s">
        <v>1</v>
      </c>
      <c r="B8" t="s">
        <v>51</v>
      </c>
    </row>
    <row r="9" spans="1:3" x14ac:dyDescent="0.25">
      <c r="A9" t="s">
        <v>0</v>
      </c>
      <c r="B9" t="s">
        <v>52</v>
      </c>
    </row>
    <row r="10" spans="1:3" x14ac:dyDescent="0.25">
      <c r="A10" t="s">
        <v>72</v>
      </c>
      <c r="B10">
        <v>17</v>
      </c>
    </row>
    <row r="11" spans="1:3" x14ac:dyDescent="0.25">
      <c r="A11" t="s">
        <v>66</v>
      </c>
      <c r="B11">
        <v>16851</v>
      </c>
      <c r="C11">
        <f>ROUND(B11 / B4 * 100, 2)</f>
        <v>96.23</v>
      </c>
    </row>
    <row r="12" spans="1:3" x14ac:dyDescent="0.25">
      <c r="A12" t="s">
        <v>67</v>
      </c>
      <c r="B12">
        <v>16.46</v>
      </c>
      <c r="C12">
        <f>ROUND(B12 / B5 * 100, 2)</f>
        <v>96.26</v>
      </c>
    </row>
    <row r="13" spans="1:3" x14ac:dyDescent="0.25">
      <c r="A13" t="s">
        <v>71</v>
      </c>
      <c r="B13">
        <v>0.02</v>
      </c>
    </row>
    <row r="15" spans="1:3" x14ac:dyDescent="0.25">
      <c r="A15" t="s">
        <v>1</v>
      </c>
      <c r="B15" t="s">
        <v>51</v>
      </c>
    </row>
    <row r="16" spans="1:3" x14ac:dyDescent="0.25">
      <c r="A16" t="s">
        <v>0</v>
      </c>
      <c r="B16" t="s">
        <v>53</v>
      </c>
    </row>
    <row r="17" spans="1:3" x14ac:dyDescent="0.25">
      <c r="A17" t="s">
        <v>72</v>
      </c>
      <c r="B17">
        <v>19</v>
      </c>
    </row>
    <row r="18" spans="1:3" x14ac:dyDescent="0.25">
      <c r="A18" t="s">
        <v>66</v>
      </c>
      <c r="B18">
        <v>16148</v>
      </c>
      <c r="C18">
        <f>ROUND(B18 / B4 * 100, 2)</f>
        <v>92.22</v>
      </c>
    </row>
    <row r="19" spans="1:3" x14ac:dyDescent="0.25">
      <c r="A19" t="s">
        <v>67</v>
      </c>
      <c r="B19">
        <v>15.77</v>
      </c>
      <c r="C19">
        <f>ROUND(B19 / B5 * 100, 2)</f>
        <v>92.22</v>
      </c>
    </row>
    <row r="20" spans="1:3" x14ac:dyDescent="0.25">
      <c r="A20" t="s">
        <v>71</v>
      </c>
      <c r="B20">
        <v>0.02</v>
      </c>
    </row>
    <row r="22" spans="1:3" x14ac:dyDescent="0.25">
      <c r="A22" t="s">
        <v>1</v>
      </c>
      <c r="B22" t="s">
        <v>51</v>
      </c>
    </row>
    <row r="23" spans="1:3" x14ac:dyDescent="0.25">
      <c r="A23" t="s">
        <v>0</v>
      </c>
      <c r="B23" t="s">
        <v>55</v>
      </c>
    </row>
    <row r="24" spans="1:3" x14ac:dyDescent="0.25">
      <c r="A24" t="s">
        <v>72</v>
      </c>
      <c r="B24">
        <v>16</v>
      </c>
    </row>
    <row r="25" spans="1:3" x14ac:dyDescent="0.25">
      <c r="A25" t="s">
        <v>66</v>
      </c>
      <c r="B25">
        <v>15729</v>
      </c>
      <c r="C25">
        <f>ROUND(B25 / B4 * 100, 2)</f>
        <v>89.82</v>
      </c>
    </row>
    <row r="26" spans="1:3" x14ac:dyDescent="0.25">
      <c r="A26" t="s">
        <v>67</v>
      </c>
      <c r="B26">
        <v>15.36</v>
      </c>
      <c r="C26">
        <f>ROUND(B26 / B5 * 100, 2)</f>
        <v>89.82</v>
      </c>
    </row>
    <row r="27" spans="1:3" x14ac:dyDescent="0.25">
      <c r="A27" t="s">
        <v>71</v>
      </c>
      <c r="B27">
        <v>0.01</v>
      </c>
    </row>
    <row r="29" spans="1:3" x14ac:dyDescent="0.25">
      <c r="A29" t="s">
        <v>1</v>
      </c>
      <c r="B29" t="s">
        <v>51</v>
      </c>
    </row>
    <row r="30" spans="1:3" x14ac:dyDescent="0.25">
      <c r="A30" t="s">
        <v>0</v>
      </c>
      <c r="B30" t="s">
        <v>54</v>
      </c>
    </row>
    <row r="31" spans="1:3" x14ac:dyDescent="0.25">
      <c r="A31" t="s">
        <v>72</v>
      </c>
      <c r="B31">
        <v>16</v>
      </c>
    </row>
    <row r="32" spans="1:3" x14ac:dyDescent="0.25">
      <c r="A32" t="s">
        <v>66</v>
      </c>
      <c r="B32">
        <v>16116</v>
      </c>
      <c r="C32">
        <f>ROUND(B32 / B4 * 100, 2)</f>
        <v>92.03</v>
      </c>
    </row>
    <row r="33" spans="1:3" x14ac:dyDescent="0.25">
      <c r="A33" t="s">
        <v>67</v>
      </c>
      <c r="B33">
        <v>15.74</v>
      </c>
      <c r="C33">
        <f>ROUND(B33 / B5 * 100, 2)</f>
        <v>92.05</v>
      </c>
    </row>
    <row r="34" spans="1:3" x14ac:dyDescent="0.25">
      <c r="A34" t="s">
        <v>71</v>
      </c>
      <c r="B34">
        <v>0.02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9C3-D3D3-4D18-963E-560A19326838}">
  <dimension ref="A1:AKJ39"/>
  <sheetViews>
    <sheetView zoomScale="40" zoomScaleNormal="40" workbookViewId="0">
      <selection activeCell="AM56" sqref="AM56"/>
    </sheetView>
  </sheetViews>
  <sheetFormatPr defaultRowHeight="15" x14ac:dyDescent="0.25"/>
  <cols>
    <col min="1" max="1" width="26.42578125" bestFit="1" customWidth="1"/>
    <col min="2" max="2" width="20.140625" bestFit="1" customWidth="1"/>
  </cols>
  <sheetData>
    <row r="1" spans="1:972" x14ac:dyDescent="0.25">
      <c r="A1" t="s">
        <v>1</v>
      </c>
      <c r="B1" t="s">
        <v>51</v>
      </c>
    </row>
    <row r="2" spans="1:972" x14ac:dyDescent="0.25">
      <c r="A2" t="s">
        <v>0</v>
      </c>
      <c r="B2" t="s">
        <v>30</v>
      </c>
    </row>
    <row r="3" spans="1:972" x14ac:dyDescent="0.25">
      <c r="A3" t="s">
        <v>2</v>
      </c>
      <c r="B3">
        <v>17</v>
      </c>
    </row>
    <row r="4" spans="1:972" x14ac:dyDescent="0.25">
      <c r="A4" t="s">
        <v>3</v>
      </c>
      <c r="B4">
        <v>27</v>
      </c>
    </row>
    <row r="5" spans="1:972" x14ac:dyDescent="0.25">
      <c r="A5" t="s">
        <v>4</v>
      </c>
      <c r="B5">
        <v>26</v>
      </c>
    </row>
    <row r="6" spans="1:972" x14ac:dyDescent="0.25">
      <c r="A6" t="s">
        <v>74</v>
      </c>
      <c r="B6">
        <v>1</v>
      </c>
      <c r="C6">
        <v>5</v>
      </c>
      <c r="D6">
        <v>1</v>
      </c>
      <c r="E6">
        <v>7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972" x14ac:dyDescent="0.25">
      <c r="A7" t="s">
        <v>73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9" spans="1:972" x14ac:dyDescent="0.25">
      <c r="A9" t="s">
        <v>1</v>
      </c>
      <c r="B9" t="s">
        <v>51</v>
      </c>
    </row>
    <row r="10" spans="1:972" x14ac:dyDescent="0.25">
      <c r="A10" t="s">
        <v>0</v>
      </c>
      <c r="B10" t="s">
        <v>52</v>
      </c>
    </row>
    <row r="11" spans="1:972" x14ac:dyDescent="0.25">
      <c r="A11" t="s">
        <v>2</v>
      </c>
      <c r="B11">
        <v>17</v>
      </c>
    </row>
    <row r="12" spans="1:972" x14ac:dyDescent="0.25">
      <c r="A12" t="s">
        <v>3</v>
      </c>
      <c r="B12">
        <v>971</v>
      </c>
    </row>
    <row r="13" spans="1:972" x14ac:dyDescent="0.25">
      <c r="A13" t="s">
        <v>4</v>
      </c>
      <c r="B13">
        <v>970</v>
      </c>
    </row>
    <row r="14" spans="1:972" x14ac:dyDescent="0.25">
      <c r="A14" t="s">
        <v>74</v>
      </c>
      <c r="B14">
        <v>1</v>
      </c>
      <c r="C14">
        <v>5</v>
      </c>
      <c r="D14">
        <v>1</v>
      </c>
      <c r="E14">
        <v>7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193</v>
      </c>
      <c r="N14">
        <v>213</v>
      </c>
      <c r="O14">
        <v>361</v>
      </c>
      <c r="P14">
        <v>181</v>
      </c>
      <c r="Q14">
        <v>1</v>
      </c>
      <c r="R14">
        <v>1</v>
      </c>
    </row>
    <row r="15" spans="1:972" x14ac:dyDescent="0.25">
      <c r="A15" t="s">
        <v>73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</row>
    <row r="17" spans="1:237" x14ac:dyDescent="0.25">
      <c r="A17" t="s">
        <v>1</v>
      </c>
      <c r="B17" t="s">
        <v>51</v>
      </c>
    </row>
    <row r="18" spans="1:237" x14ac:dyDescent="0.25">
      <c r="A18" t="s">
        <v>0</v>
      </c>
      <c r="B18" t="s">
        <v>53</v>
      </c>
    </row>
    <row r="19" spans="1:237" x14ac:dyDescent="0.25">
      <c r="A19" t="s">
        <v>2</v>
      </c>
      <c r="B19">
        <v>17</v>
      </c>
    </row>
    <row r="20" spans="1:237" x14ac:dyDescent="0.25">
      <c r="A20" t="s">
        <v>3</v>
      </c>
      <c r="B20">
        <v>236</v>
      </c>
    </row>
    <row r="21" spans="1:237" x14ac:dyDescent="0.25">
      <c r="A21" t="s">
        <v>4</v>
      </c>
      <c r="B21">
        <v>235</v>
      </c>
    </row>
    <row r="22" spans="1:237" x14ac:dyDescent="0.25">
      <c r="A22" t="s">
        <v>74</v>
      </c>
      <c r="B22">
        <v>1</v>
      </c>
      <c r="C22">
        <v>5</v>
      </c>
      <c r="D22">
        <v>1</v>
      </c>
      <c r="E22">
        <v>7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210</v>
      </c>
      <c r="O22">
        <v>1</v>
      </c>
      <c r="P22">
        <v>1</v>
      </c>
      <c r="Q22">
        <v>1</v>
      </c>
      <c r="R22">
        <v>1</v>
      </c>
    </row>
    <row r="23" spans="1:237" x14ac:dyDescent="0.25">
      <c r="A23" t="s">
        <v>73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</row>
    <row r="25" spans="1:237" x14ac:dyDescent="0.25">
      <c r="A25" t="s">
        <v>1</v>
      </c>
      <c r="B25" t="s">
        <v>51</v>
      </c>
    </row>
    <row r="26" spans="1:237" x14ac:dyDescent="0.25">
      <c r="A26" t="s">
        <v>0</v>
      </c>
      <c r="B26" t="s">
        <v>55</v>
      </c>
    </row>
    <row r="27" spans="1:237" x14ac:dyDescent="0.25">
      <c r="A27" t="s">
        <v>2</v>
      </c>
      <c r="B27">
        <v>17</v>
      </c>
    </row>
    <row r="28" spans="1:237" x14ac:dyDescent="0.25">
      <c r="A28" t="s">
        <v>3</v>
      </c>
      <c r="B28">
        <v>27</v>
      </c>
    </row>
    <row r="29" spans="1:237" x14ac:dyDescent="0.25">
      <c r="A29" t="s">
        <v>4</v>
      </c>
      <c r="B29">
        <v>26</v>
      </c>
    </row>
    <row r="30" spans="1:237" x14ac:dyDescent="0.25">
      <c r="A30" t="s">
        <v>74</v>
      </c>
      <c r="B30">
        <v>1</v>
      </c>
      <c r="C30">
        <v>5</v>
      </c>
      <c r="D30">
        <v>1</v>
      </c>
      <c r="E30">
        <v>7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237" x14ac:dyDescent="0.25">
      <c r="A31" t="s">
        <v>73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</row>
    <row r="33" spans="1:28" x14ac:dyDescent="0.25">
      <c r="A33" t="s">
        <v>1</v>
      </c>
      <c r="B33" t="s">
        <v>51</v>
      </c>
    </row>
    <row r="34" spans="1:28" x14ac:dyDescent="0.25">
      <c r="A34" t="s">
        <v>0</v>
      </c>
      <c r="B34" t="s">
        <v>54</v>
      </c>
    </row>
    <row r="35" spans="1:28" x14ac:dyDescent="0.25">
      <c r="A35" t="s">
        <v>2</v>
      </c>
      <c r="B35">
        <v>17</v>
      </c>
    </row>
    <row r="36" spans="1:28" x14ac:dyDescent="0.25">
      <c r="A36" t="s">
        <v>3</v>
      </c>
      <c r="B36">
        <v>27</v>
      </c>
    </row>
    <row r="37" spans="1:28" x14ac:dyDescent="0.25">
      <c r="A37" t="s">
        <v>4</v>
      </c>
      <c r="B37">
        <v>26</v>
      </c>
    </row>
    <row r="38" spans="1:28" x14ac:dyDescent="0.25">
      <c r="A38" t="s">
        <v>74</v>
      </c>
      <c r="B38">
        <v>1</v>
      </c>
      <c r="C38">
        <v>5</v>
      </c>
      <c r="D38">
        <v>1</v>
      </c>
      <c r="E38">
        <v>7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28" x14ac:dyDescent="0.25">
      <c r="A39" t="s">
        <v>73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A1CB-600A-4F63-A5D5-16AEE8525D3C}">
  <dimension ref="A1:AKJ34"/>
  <sheetViews>
    <sheetView zoomScale="70" zoomScaleNormal="70" workbookViewId="0">
      <selection activeCell="T42" sqref="T42"/>
    </sheetView>
  </sheetViews>
  <sheetFormatPr defaultRowHeight="15" x14ac:dyDescent="0.25"/>
  <cols>
    <col min="1" max="1" width="19" bestFit="1" customWidth="1"/>
    <col min="2" max="2" width="20.140625" bestFit="1" customWidth="1"/>
  </cols>
  <sheetData>
    <row r="1" spans="1:972" x14ac:dyDescent="0.25">
      <c r="A1" t="s">
        <v>1</v>
      </c>
      <c r="B1" t="s">
        <v>51</v>
      </c>
    </row>
    <row r="2" spans="1:972" x14ac:dyDescent="0.25">
      <c r="A2" t="s">
        <v>0</v>
      </c>
      <c r="B2" t="s">
        <v>30</v>
      </c>
    </row>
    <row r="3" spans="1:972" x14ac:dyDescent="0.25">
      <c r="A3" t="s">
        <v>81</v>
      </c>
      <c r="B3">
        <v>28</v>
      </c>
      <c r="C3">
        <v>11</v>
      </c>
      <c r="D3">
        <v>11</v>
      </c>
      <c r="E3">
        <v>11</v>
      </c>
      <c r="F3">
        <v>11</v>
      </c>
      <c r="G3">
        <v>11</v>
      </c>
      <c r="H3">
        <v>11</v>
      </c>
      <c r="I3">
        <v>11</v>
      </c>
      <c r="J3">
        <v>11</v>
      </c>
      <c r="K3">
        <v>11</v>
      </c>
      <c r="L3">
        <v>11</v>
      </c>
      <c r="M3">
        <v>11</v>
      </c>
      <c r="N3">
        <v>11</v>
      </c>
      <c r="O3">
        <v>11</v>
      </c>
      <c r="P3">
        <v>11</v>
      </c>
      <c r="Q3">
        <v>28</v>
      </c>
      <c r="R3">
        <v>11</v>
      </c>
      <c r="S3">
        <v>11</v>
      </c>
      <c r="T3">
        <v>11</v>
      </c>
      <c r="U3">
        <v>11</v>
      </c>
      <c r="V3">
        <v>11</v>
      </c>
      <c r="W3">
        <v>11</v>
      </c>
      <c r="X3">
        <v>11</v>
      </c>
      <c r="Y3">
        <v>11</v>
      </c>
      <c r="Z3">
        <v>11</v>
      </c>
      <c r="AA3">
        <v>11</v>
      </c>
      <c r="AB3">
        <v>11</v>
      </c>
    </row>
    <row r="4" spans="1:972" x14ac:dyDescent="0.25">
      <c r="A4" t="s">
        <v>80</v>
      </c>
      <c r="B4" s="48" t="s">
        <v>82</v>
      </c>
      <c r="C4" s="48" t="s">
        <v>78</v>
      </c>
      <c r="D4" s="48" t="s">
        <v>77</v>
      </c>
    </row>
    <row r="5" spans="1:972" x14ac:dyDescent="0.25">
      <c r="A5" t="s">
        <v>76</v>
      </c>
      <c r="B5">
        <v>2</v>
      </c>
      <c r="C5">
        <v>25</v>
      </c>
      <c r="D5">
        <v>0</v>
      </c>
    </row>
    <row r="6" spans="1:972" x14ac:dyDescent="0.25">
      <c r="A6" t="s">
        <v>75</v>
      </c>
      <c r="B6">
        <v>7.41</v>
      </c>
      <c r="C6">
        <v>92.59</v>
      </c>
      <c r="D6">
        <v>0</v>
      </c>
    </row>
    <row r="8" spans="1:972" x14ac:dyDescent="0.25">
      <c r="A8" t="s">
        <v>1</v>
      </c>
      <c r="B8" t="s">
        <v>51</v>
      </c>
    </row>
    <row r="9" spans="1:972" x14ac:dyDescent="0.25">
      <c r="A9" t="s">
        <v>0</v>
      </c>
      <c r="B9" t="s">
        <v>52</v>
      </c>
    </row>
    <row r="10" spans="1:972" x14ac:dyDescent="0.25">
      <c r="A10" t="s">
        <v>81</v>
      </c>
      <c r="B10">
        <v>28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28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</v>
      </c>
      <c r="Z10">
        <v>11</v>
      </c>
      <c r="AA10">
        <v>11</v>
      </c>
      <c r="AB10">
        <v>11</v>
      </c>
      <c r="AC10">
        <v>1</v>
      </c>
      <c r="AD10">
        <v>11</v>
      </c>
      <c r="AE10">
        <v>11</v>
      </c>
      <c r="AF10">
        <v>11</v>
      </c>
      <c r="AG10">
        <v>1</v>
      </c>
      <c r="AH10">
        <v>11</v>
      </c>
      <c r="AI10">
        <v>11</v>
      </c>
      <c r="AJ10">
        <v>11</v>
      </c>
      <c r="AK10">
        <v>1</v>
      </c>
      <c r="AL10">
        <v>11</v>
      </c>
      <c r="AM10">
        <v>11</v>
      </c>
      <c r="AN10">
        <v>11</v>
      </c>
      <c r="AO10">
        <v>1</v>
      </c>
      <c r="AP10">
        <v>11</v>
      </c>
      <c r="AQ10">
        <v>11</v>
      </c>
      <c r="AR10">
        <v>11</v>
      </c>
      <c r="AS10">
        <v>1</v>
      </c>
      <c r="AT10">
        <v>11</v>
      </c>
      <c r="AU10">
        <v>11</v>
      </c>
      <c r="AV10">
        <v>11</v>
      </c>
      <c r="AW10">
        <v>1</v>
      </c>
      <c r="AX10">
        <v>11</v>
      </c>
      <c r="AY10">
        <v>11</v>
      </c>
      <c r="AZ10">
        <v>11</v>
      </c>
      <c r="BA10">
        <v>1</v>
      </c>
      <c r="BB10">
        <v>11</v>
      </c>
      <c r="BC10">
        <v>11</v>
      </c>
      <c r="BD10">
        <v>11</v>
      </c>
      <c r="BE10">
        <v>1</v>
      </c>
      <c r="BF10">
        <v>11</v>
      </c>
      <c r="BG10">
        <v>11</v>
      </c>
      <c r="BH10">
        <v>11</v>
      </c>
      <c r="BI10">
        <v>1</v>
      </c>
      <c r="BJ10">
        <v>11</v>
      </c>
      <c r="BK10">
        <v>11</v>
      </c>
      <c r="BL10">
        <v>11</v>
      </c>
      <c r="BM10">
        <v>1</v>
      </c>
      <c r="BN10">
        <v>11</v>
      </c>
      <c r="BO10">
        <v>11</v>
      </c>
      <c r="BP10">
        <v>11</v>
      </c>
      <c r="BQ10">
        <v>1</v>
      </c>
      <c r="BR10">
        <v>11</v>
      </c>
      <c r="BS10">
        <v>11</v>
      </c>
      <c r="BT10">
        <v>11</v>
      </c>
      <c r="BU10">
        <v>1</v>
      </c>
      <c r="BV10">
        <v>11</v>
      </c>
      <c r="BW10">
        <v>11</v>
      </c>
      <c r="BX10">
        <v>11</v>
      </c>
      <c r="BY10">
        <v>1</v>
      </c>
      <c r="BZ10">
        <v>11</v>
      </c>
      <c r="CA10">
        <v>11</v>
      </c>
      <c r="CB10">
        <v>11</v>
      </c>
      <c r="CC10">
        <v>1</v>
      </c>
      <c r="CD10">
        <v>11</v>
      </c>
      <c r="CE10">
        <v>11</v>
      </c>
      <c r="CF10">
        <v>11</v>
      </c>
      <c r="CG10">
        <v>1</v>
      </c>
      <c r="CH10">
        <v>11</v>
      </c>
      <c r="CI10">
        <v>11</v>
      </c>
      <c r="CJ10">
        <v>11</v>
      </c>
      <c r="CK10">
        <v>1</v>
      </c>
      <c r="CL10">
        <v>11</v>
      </c>
      <c r="CM10">
        <v>11</v>
      </c>
      <c r="CN10">
        <v>11</v>
      </c>
      <c r="CO10">
        <v>1</v>
      </c>
      <c r="CP10">
        <v>11</v>
      </c>
      <c r="CQ10">
        <v>11</v>
      </c>
      <c r="CR10">
        <v>11</v>
      </c>
      <c r="CS10">
        <v>1</v>
      </c>
      <c r="CT10">
        <v>11</v>
      </c>
      <c r="CU10">
        <v>11</v>
      </c>
      <c r="CV10">
        <v>11</v>
      </c>
      <c r="CW10">
        <v>1</v>
      </c>
      <c r="CX10">
        <v>11</v>
      </c>
      <c r="CY10">
        <v>11</v>
      </c>
      <c r="CZ10">
        <v>11</v>
      </c>
      <c r="DA10">
        <v>1</v>
      </c>
      <c r="DB10">
        <v>11</v>
      </c>
      <c r="DC10">
        <v>11</v>
      </c>
      <c r="DD10">
        <v>11</v>
      </c>
      <c r="DE10">
        <v>1</v>
      </c>
      <c r="DF10">
        <v>11</v>
      </c>
      <c r="DG10">
        <v>11</v>
      </c>
      <c r="DH10">
        <v>11</v>
      </c>
      <c r="DI10">
        <v>1</v>
      </c>
      <c r="DJ10">
        <v>11</v>
      </c>
      <c r="DK10">
        <v>11</v>
      </c>
      <c r="DL10">
        <v>11</v>
      </c>
      <c r="DM10">
        <v>1</v>
      </c>
      <c r="DN10">
        <v>11</v>
      </c>
      <c r="DO10">
        <v>11</v>
      </c>
      <c r="DP10">
        <v>11</v>
      </c>
      <c r="DQ10">
        <v>1</v>
      </c>
      <c r="DR10">
        <v>11</v>
      </c>
      <c r="DS10">
        <v>11</v>
      </c>
      <c r="DT10">
        <v>11</v>
      </c>
      <c r="DU10">
        <v>1</v>
      </c>
      <c r="DV10">
        <v>11</v>
      </c>
      <c r="DW10">
        <v>11</v>
      </c>
      <c r="DX10">
        <v>11</v>
      </c>
      <c r="DY10">
        <v>1</v>
      </c>
      <c r="DZ10">
        <v>11</v>
      </c>
      <c r="EA10">
        <v>11</v>
      </c>
      <c r="EB10">
        <v>11</v>
      </c>
      <c r="EC10">
        <v>1</v>
      </c>
      <c r="ED10">
        <v>11</v>
      </c>
      <c r="EE10">
        <v>11</v>
      </c>
      <c r="EF10">
        <v>11</v>
      </c>
      <c r="EG10">
        <v>1</v>
      </c>
      <c r="EH10">
        <v>11</v>
      </c>
      <c r="EI10">
        <v>11</v>
      </c>
      <c r="EJ10">
        <v>11</v>
      </c>
      <c r="EK10">
        <v>1</v>
      </c>
      <c r="EL10">
        <v>11</v>
      </c>
      <c r="EM10">
        <v>11</v>
      </c>
      <c r="EN10">
        <v>11</v>
      </c>
      <c r="EO10">
        <v>1</v>
      </c>
      <c r="EP10">
        <v>11</v>
      </c>
      <c r="EQ10">
        <v>11</v>
      </c>
      <c r="ER10">
        <v>11</v>
      </c>
      <c r="ES10">
        <v>1</v>
      </c>
      <c r="ET10">
        <v>11</v>
      </c>
      <c r="EU10">
        <v>11</v>
      </c>
      <c r="EV10">
        <v>11</v>
      </c>
      <c r="EW10">
        <v>1</v>
      </c>
      <c r="EX10">
        <v>11</v>
      </c>
      <c r="EY10">
        <v>11</v>
      </c>
      <c r="EZ10">
        <v>11</v>
      </c>
      <c r="FA10">
        <v>1</v>
      </c>
      <c r="FB10">
        <v>11</v>
      </c>
      <c r="FC10">
        <v>11</v>
      </c>
      <c r="FD10">
        <v>11</v>
      </c>
      <c r="FE10">
        <v>1</v>
      </c>
      <c r="FF10">
        <v>11</v>
      </c>
      <c r="FG10">
        <v>11</v>
      </c>
      <c r="FH10">
        <v>11</v>
      </c>
      <c r="FI10">
        <v>1</v>
      </c>
      <c r="FJ10">
        <v>11</v>
      </c>
      <c r="FK10">
        <v>11</v>
      </c>
      <c r="FL10">
        <v>11</v>
      </c>
      <c r="FM10">
        <v>1</v>
      </c>
      <c r="FN10">
        <v>11</v>
      </c>
      <c r="FO10">
        <v>11</v>
      </c>
      <c r="FP10">
        <v>11</v>
      </c>
      <c r="FQ10">
        <v>1</v>
      </c>
      <c r="FR10">
        <v>11</v>
      </c>
      <c r="FS10">
        <v>11</v>
      </c>
      <c r="FT10">
        <v>11</v>
      </c>
      <c r="FU10">
        <v>1</v>
      </c>
      <c r="FV10">
        <v>11</v>
      </c>
      <c r="FW10">
        <v>11</v>
      </c>
      <c r="FX10">
        <v>11</v>
      </c>
      <c r="FY10">
        <v>1</v>
      </c>
      <c r="FZ10">
        <v>11</v>
      </c>
      <c r="GA10">
        <v>11</v>
      </c>
      <c r="GB10">
        <v>11</v>
      </c>
      <c r="GC10">
        <v>1</v>
      </c>
      <c r="GD10">
        <v>11</v>
      </c>
      <c r="GE10">
        <v>11</v>
      </c>
      <c r="GF10">
        <v>11</v>
      </c>
      <c r="GG10">
        <v>1</v>
      </c>
      <c r="GH10">
        <v>11</v>
      </c>
      <c r="GI10">
        <v>11</v>
      </c>
      <c r="GJ10">
        <v>11</v>
      </c>
      <c r="GK10">
        <v>1</v>
      </c>
      <c r="GL10">
        <v>11</v>
      </c>
      <c r="GM10">
        <v>11</v>
      </c>
      <c r="GN10">
        <v>11</v>
      </c>
      <c r="GO10">
        <v>1</v>
      </c>
      <c r="GP10">
        <v>11</v>
      </c>
      <c r="GQ10">
        <v>11</v>
      </c>
      <c r="GR10">
        <v>11</v>
      </c>
      <c r="GS10">
        <v>1</v>
      </c>
      <c r="GT10">
        <v>11</v>
      </c>
      <c r="GU10">
        <v>11</v>
      </c>
      <c r="GV10">
        <v>11</v>
      </c>
      <c r="GW10">
        <v>1</v>
      </c>
      <c r="GX10">
        <v>11</v>
      </c>
      <c r="GY10">
        <v>11</v>
      </c>
      <c r="GZ10">
        <v>11</v>
      </c>
      <c r="HA10">
        <v>1</v>
      </c>
      <c r="HB10">
        <v>11</v>
      </c>
      <c r="HC10">
        <v>11</v>
      </c>
      <c r="HD10">
        <v>11</v>
      </c>
      <c r="HE10">
        <v>1</v>
      </c>
      <c r="HF10">
        <v>11</v>
      </c>
      <c r="HG10">
        <v>11</v>
      </c>
      <c r="HH10">
        <v>11</v>
      </c>
      <c r="HI10">
        <v>11</v>
      </c>
      <c r="HJ10">
        <v>1</v>
      </c>
      <c r="HK10">
        <v>11</v>
      </c>
      <c r="HL10">
        <v>11</v>
      </c>
      <c r="HM10">
        <v>11</v>
      </c>
      <c r="HN10">
        <v>1</v>
      </c>
      <c r="HO10">
        <v>11</v>
      </c>
      <c r="HP10">
        <v>11</v>
      </c>
      <c r="HQ10">
        <v>11</v>
      </c>
      <c r="HR10">
        <v>1</v>
      </c>
      <c r="HS10">
        <v>11</v>
      </c>
      <c r="HT10">
        <v>11</v>
      </c>
      <c r="HU10">
        <v>11</v>
      </c>
      <c r="HV10">
        <v>1</v>
      </c>
      <c r="HW10">
        <v>11</v>
      </c>
      <c r="HX10">
        <v>11</v>
      </c>
      <c r="HY10">
        <v>11</v>
      </c>
      <c r="HZ10">
        <v>1</v>
      </c>
      <c r="IA10">
        <v>11</v>
      </c>
      <c r="IB10">
        <v>11</v>
      </c>
      <c r="IC10">
        <v>11</v>
      </c>
      <c r="ID10">
        <v>1</v>
      </c>
      <c r="IE10">
        <v>11</v>
      </c>
      <c r="IF10">
        <v>11</v>
      </c>
      <c r="IG10">
        <v>11</v>
      </c>
      <c r="IH10">
        <v>1</v>
      </c>
      <c r="II10">
        <v>11</v>
      </c>
      <c r="IJ10">
        <v>11</v>
      </c>
      <c r="IK10">
        <v>11</v>
      </c>
      <c r="IL10">
        <v>1</v>
      </c>
      <c r="IM10">
        <v>11</v>
      </c>
      <c r="IN10">
        <v>11</v>
      </c>
      <c r="IO10">
        <v>11</v>
      </c>
      <c r="IP10">
        <v>1</v>
      </c>
      <c r="IQ10">
        <v>11</v>
      </c>
      <c r="IR10">
        <v>11</v>
      </c>
      <c r="IS10">
        <v>11</v>
      </c>
      <c r="IT10">
        <v>1</v>
      </c>
      <c r="IU10">
        <v>11</v>
      </c>
      <c r="IV10">
        <v>11</v>
      </c>
      <c r="IW10">
        <v>11</v>
      </c>
      <c r="IX10">
        <v>1</v>
      </c>
      <c r="IY10">
        <v>11</v>
      </c>
      <c r="IZ10">
        <v>11</v>
      </c>
      <c r="JA10">
        <v>11</v>
      </c>
      <c r="JB10">
        <v>1</v>
      </c>
      <c r="JC10">
        <v>11</v>
      </c>
      <c r="JD10">
        <v>11</v>
      </c>
      <c r="JE10">
        <v>11</v>
      </c>
      <c r="JF10">
        <v>1</v>
      </c>
      <c r="JG10">
        <v>11</v>
      </c>
      <c r="JH10">
        <v>11</v>
      </c>
      <c r="JI10">
        <v>11</v>
      </c>
      <c r="JJ10">
        <v>1</v>
      </c>
      <c r="JK10">
        <v>11</v>
      </c>
      <c r="JL10">
        <v>11</v>
      </c>
      <c r="JM10">
        <v>11</v>
      </c>
      <c r="JN10">
        <v>1</v>
      </c>
      <c r="JO10">
        <v>11</v>
      </c>
      <c r="JP10">
        <v>11</v>
      </c>
      <c r="JQ10">
        <v>11</v>
      </c>
      <c r="JR10">
        <v>1</v>
      </c>
      <c r="JS10">
        <v>11</v>
      </c>
      <c r="JT10">
        <v>11</v>
      </c>
      <c r="JU10">
        <v>11</v>
      </c>
      <c r="JV10">
        <v>1</v>
      </c>
      <c r="JW10">
        <v>11</v>
      </c>
      <c r="JX10">
        <v>11</v>
      </c>
      <c r="JY10">
        <v>11</v>
      </c>
      <c r="JZ10">
        <v>1</v>
      </c>
      <c r="KA10">
        <v>11</v>
      </c>
      <c r="KB10">
        <v>11</v>
      </c>
      <c r="KC10">
        <v>11</v>
      </c>
      <c r="KD10">
        <v>1</v>
      </c>
      <c r="KE10">
        <v>11</v>
      </c>
      <c r="KF10">
        <v>11</v>
      </c>
      <c r="KG10">
        <v>11</v>
      </c>
      <c r="KH10">
        <v>1</v>
      </c>
      <c r="KI10">
        <v>11</v>
      </c>
      <c r="KJ10">
        <v>11</v>
      </c>
      <c r="KK10">
        <v>11</v>
      </c>
      <c r="KL10">
        <v>1</v>
      </c>
      <c r="KM10">
        <v>11</v>
      </c>
      <c r="KN10">
        <v>11</v>
      </c>
      <c r="KO10">
        <v>11</v>
      </c>
      <c r="KP10">
        <v>1</v>
      </c>
      <c r="KQ10">
        <v>11</v>
      </c>
      <c r="KR10">
        <v>11</v>
      </c>
      <c r="KS10">
        <v>11</v>
      </c>
      <c r="KT10">
        <v>1</v>
      </c>
      <c r="KU10">
        <v>11</v>
      </c>
      <c r="KV10">
        <v>11</v>
      </c>
      <c r="KW10">
        <v>11</v>
      </c>
      <c r="KX10">
        <v>1</v>
      </c>
      <c r="KY10">
        <v>11</v>
      </c>
      <c r="KZ10">
        <v>11</v>
      </c>
      <c r="LA10">
        <v>11</v>
      </c>
      <c r="LB10">
        <v>1</v>
      </c>
      <c r="LC10">
        <v>11</v>
      </c>
      <c r="LD10">
        <v>11</v>
      </c>
      <c r="LE10">
        <v>11</v>
      </c>
      <c r="LF10">
        <v>1</v>
      </c>
      <c r="LG10">
        <v>11</v>
      </c>
      <c r="LH10">
        <v>11</v>
      </c>
      <c r="LI10">
        <v>11</v>
      </c>
      <c r="LJ10">
        <v>1</v>
      </c>
      <c r="LK10">
        <v>11</v>
      </c>
      <c r="LL10">
        <v>11</v>
      </c>
      <c r="LM10">
        <v>11</v>
      </c>
      <c r="LN10">
        <v>1</v>
      </c>
      <c r="LO10">
        <v>11</v>
      </c>
      <c r="LP10">
        <v>11</v>
      </c>
      <c r="LQ10">
        <v>11</v>
      </c>
      <c r="LR10">
        <v>1</v>
      </c>
      <c r="LS10">
        <v>11</v>
      </c>
      <c r="LT10">
        <v>11</v>
      </c>
      <c r="LU10">
        <v>11</v>
      </c>
      <c r="LV10">
        <v>1</v>
      </c>
      <c r="LW10">
        <v>11</v>
      </c>
      <c r="LX10">
        <v>11</v>
      </c>
      <c r="LY10">
        <v>11</v>
      </c>
      <c r="LZ10">
        <v>1</v>
      </c>
      <c r="MA10">
        <v>11</v>
      </c>
      <c r="MB10">
        <v>11</v>
      </c>
      <c r="MC10">
        <v>11</v>
      </c>
      <c r="MD10">
        <v>1</v>
      </c>
      <c r="ME10">
        <v>11</v>
      </c>
      <c r="MF10">
        <v>11</v>
      </c>
      <c r="MG10">
        <v>11</v>
      </c>
      <c r="MH10">
        <v>1</v>
      </c>
      <c r="MI10">
        <v>11</v>
      </c>
      <c r="MJ10">
        <v>11</v>
      </c>
      <c r="MK10">
        <v>11</v>
      </c>
      <c r="ML10">
        <v>1</v>
      </c>
      <c r="MM10">
        <v>11</v>
      </c>
      <c r="MN10">
        <v>11</v>
      </c>
      <c r="MO10">
        <v>11</v>
      </c>
      <c r="MP10">
        <v>1</v>
      </c>
      <c r="MQ10">
        <v>11</v>
      </c>
      <c r="MR10">
        <v>11</v>
      </c>
      <c r="MS10">
        <v>11</v>
      </c>
      <c r="MT10">
        <v>1</v>
      </c>
      <c r="MU10">
        <v>11</v>
      </c>
      <c r="MV10">
        <v>11</v>
      </c>
      <c r="MW10">
        <v>11</v>
      </c>
      <c r="MX10">
        <v>1</v>
      </c>
      <c r="MY10">
        <v>11</v>
      </c>
      <c r="MZ10">
        <v>11</v>
      </c>
      <c r="NA10">
        <v>11</v>
      </c>
      <c r="NB10">
        <v>1</v>
      </c>
      <c r="NC10">
        <v>11</v>
      </c>
      <c r="ND10">
        <v>11</v>
      </c>
      <c r="NE10">
        <v>11</v>
      </c>
      <c r="NF10">
        <v>1</v>
      </c>
      <c r="NG10">
        <v>11</v>
      </c>
      <c r="NH10">
        <v>11</v>
      </c>
      <c r="NI10">
        <v>11</v>
      </c>
      <c r="NJ10">
        <v>1</v>
      </c>
      <c r="NK10">
        <v>11</v>
      </c>
      <c r="NL10">
        <v>11</v>
      </c>
      <c r="NM10">
        <v>11</v>
      </c>
      <c r="NN10">
        <v>1</v>
      </c>
      <c r="NO10">
        <v>11</v>
      </c>
      <c r="NP10">
        <v>11</v>
      </c>
      <c r="NQ10">
        <v>11</v>
      </c>
      <c r="NR10">
        <v>1</v>
      </c>
      <c r="NS10">
        <v>11</v>
      </c>
      <c r="NT10">
        <v>11</v>
      </c>
      <c r="NU10">
        <v>11</v>
      </c>
      <c r="NV10">
        <v>1</v>
      </c>
      <c r="NW10">
        <v>11</v>
      </c>
      <c r="NX10">
        <v>11</v>
      </c>
      <c r="NY10">
        <v>11</v>
      </c>
      <c r="NZ10">
        <v>1</v>
      </c>
      <c r="OA10">
        <v>11</v>
      </c>
      <c r="OB10">
        <v>11</v>
      </c>
      <c r="OC10">
        <v>11</v>
      </c>
      <c r="OD10">
        <v>1</v>
      </c>
      <c r="OE10">
        <v>11</v>
      </c>
      <c r="OF10">
        <v>11</v>
      </c>
      <c r="OG10">
        <v>11</v>
      </c>
      <c r="OH10">
        <v>1</v>
      </c>
      <c r="OI10">
        <v>11</v>
      </c>
      <c r="OJ10">
        <v>11</v>
      </c>
      <c r="OK10">
        <v>11</v>
      </c>
      <c r="OL10">
        <v>1</v>
      </c>
      <c r="OM10">
        <v>11</v>
      </c>
      <c r="ON10">
        <v>11</v>
      </c>
      <c r="OO10">
        <v>11</v>
      </c>
      <c r="OP10">
        <v>1</v>
      </c>
      <c r="OQ10">
        <v>11</v>
      </c>
      <c r="OR10">
        <v>11</v>
      </c>
      <c r="OS10">
        <v>11</v>
      </c>
      <c r="OT10">
        <v>1</v>
      </c>
      <c r="OU10">
        <v>11</v>
      </c>
      <c r="OV10">
        <v>11</v>
      </c>
      <c r="OW10">
        <v>11</v>
      </c>
      <c r="OX10">
        <v>1</v>
      </c>
      <c r="OY10">
        <v>11</v>
      </c>
      <c r="OZ10">
        <v>11</v>
      </c>
      <c r="PA10">
        <v>11</v>
      </c>
      <c r="PB10">
        <v>1</v>
      </c>
      <c r="PC10">
        <v>11</v>
      </c>
      <c r="PD10">
        <v>11</v>
      </c>
      <c r="PE10">
        <v>11</v>
      </c>
      <c r="PF10">
        <v>1</v>
      </c>
      <c r="PG10">
        <v>11</v>
      </c>
      <c r="PH10">
        <v>11</v>
      </c>
      <c r="PI10">
        <v>11</v>
      </c>
      <c r="PJ10">
        <v>1</v>
      </c>
      <c r="PK10">
        <v>11</v>
      </c>
      <c r="PL10">
        <v>11</v>
      </c>
      <c r="PM10">
        <v>11</v>
      </c>
      <c r="PN10">
        <v>11</v>
      </c>
      <c r="PO10">
        <v>1</v>
      </c>
      <c r="PP10">
        <v>11</v>
      </c>
      <c r="PQ10">
        <v>11</v>
      </c>
      <c r="PR10">
        <v>11</v>
      </c>
      <c r="PS10">
        <v>1</v>
      </c>
      <c r="PT10">
        <v>11</v>
      </c>
      <c r="PU10">
        <v>11</v>
      </c>
      <c r="PV10">
        <v>11</v>
      </c>
      <c r="PW10">
        <v>1</v>
      </c>
      <c r="PX10">
        <v>11</v>
      </c>
      <c r="PY10">
        <v>11</v>
      </c>
      <c r="PZ10">
        <v>11</v>
      </c>
      <c r="QA10">
        <v>1</v>
      </c>
      <c r="QB10">
        <v>11</v>
      </c>
      <c r="QC10">
        <v>11</v>
      </c>
      <c r="QD10">
        <v>11</v>
      </c>
      <c r="QE10">
        <v>1</v>
      </c>
      <c r="QF10">
        <v>11</v>
      </c>
      <c r="QG10">
        <v>11</v>
      </c>
      <c r="QH10">
        <v>11</v>
      </c>
      <c r="QI10">
        <v>1</v>
      </c>
      <c r="QJ10">
        <v>11</v>
      </c>
      <c r="QK10">
        <v>11</v>
      </c>
      <c r="QL10">
        <v>11</v>
      </c>
      <c r="QM10">
        <v>1</v>
      </c>
      <c r="QN10">
        <v>11</v>
      </c>
      <c r="QO10">
        <v>11</v>
      </c>
      <c r="QP10">
        <v>11</v>
      </c>
      <c r="QQ10">
        <v>1</v>
      </c>
      <c r="QR10">
        <v>11</v>
      </c>
      <c r="QS10">
        <v>11</v>
      </c>
      <c r="QT10">
        <v>11</v>
      </c>
      <c r="QU10">
        <v>1</v>
      </c>
      <c r="QV10">
        <v>11</v>
      </c>
      <c r="QW10">
        <v>11</v>
      </c>
      <c r="QX10">
        <v>11</v>
      </c>
      <c r="QY10">
        <v>1</v>
      </c>
      <c r="QZ10">
        <v>11</v>
      </c>
      <c r="RA10">
        <v>11</v>
      </c>
      <c r="RB10">
        <v>11</v>
      </c>
      <c r="RC10">
        <v>1</v>
      </c>
      <c r="RD10">
        <v>11</v>
      </c>
      <c r="RE10">
        <v>11</v>
      </c>
      <c r="RF10">
        <v>11</v>
      </c>
      <c r="RG10">
        <v>1</v>
      </c>
      <c r="RH10">
        <v>11</v>
      </c>
      <c r="RI10">
        <v>11</v>
      </c>
      <c r="RJ10">
        <v>11</v>
      </c>
      <c r="RK10">
        <v>1</v>
      </c>
      <c r="RL10">
        <v>11</v>
      </c>
      <c r="RM10">
        <v>11</v>
      </c>
      <c r="RN10">
        <v>11</v>
      </c>
      <c r="RO10">
        <v>1</v>
      </c>
      <c r="RP10">
        <v>11</v>
      </c>
      <c r="RQ10">
        <v>11</v>
      </c>
      <c r="RR10">
        <v>11</v>
      </c>
      <c r="RS10">
        <v>1</v>
      </c>
      <c r="RT10">
        <v>11</v>
      </c>
      <c r="RU10">
        <v>11</v>
      </c>
      <c r="RV10">
        <v>11</v>
      </c>
      <c r="RW10">
        <v>1</v>
      </c>
      <c r="RX10">
        <v>11</v>
      </c>
      <c r="RY10">
        <v>11</v>
      </c>
      <c r="RZ10">
        <v>11</v>
      </c>
      <c r="SA10">
        <v>1</v>
      </c>
      <c r="SB10">
        <v>11</v>
      </c>
      <c r="SC10">
        <v>11</v>
      </c>
      <c r="SD10">
        <v>11</v>
      </c>
      <c r="SE10">
        <v>1</v>
      </c>
      <c r="SF10">
        <v>11</v>
      </c>
      <c r="SG10">
        <v>11</v>
      </c>
      <c r="SH10">
        <v>11</v>
      </c>
      <c r="SI10">
        <v>1</v>
      </c>
      <c r="SJ10">
        <v>11</v>
      </c>
      <c r="SK10">
        <v>11</v>
      </c>
      <c r="SL10">
        <v>11</v>
      </c>
      <c r="SM10">
        <v>1</v>
      </c>
      <c r="SN10">
        <v>11</v>
      </c>
      <c r="SO10">
        <v>11</v>
      </c>
      <c r="SP10">
        <v>11</v>
      </c>
      <c r="SQ10">
        <v>1</v>
      </c>
      <c r="SR10">
        <v>11</v>
      </c>
      <c r="SS10">
        <v>11</v>
      </c>
      <c r="ST10">
        <v>11</v>
      </c>
      <c r="SU10">
        <v>1</v>
      </c>
      <c r="SV10">
        <v>11</v>
      </c>
      <c r="SW10">
        <v>11</v>
      </c>
      <c r="SX10">
        <v>11</v>
      </c>
      <c r="SY10">
        <v>1</v>
      </c>
      <c r="SZ10">
        <v>11</v>
      </c>
      <c r="TA10">
        <v>11</v>
      </c>
      <c r="TB10">
        <v>11</v>
      </c>
      <c r="TC10">
        <v>1</v>
      </c>
      <c r="TD10">
        <v>11</v>
      </c>
      <c r="TE10">
        <v>11</v>
      </c>
      <c r="TF10">
        <v>11</v>
      </c>
      <c r="TG10">
        <v>1</v>
      </c>
      <c r="TH10">
        <v>11</v>
      </c>
      <c r="TI10">
        <v>11</v>
      </c>
      <c r="TJ10">
        <v>11</v>
      </c>
      <c r="TK10">
        <v>1</v>
      </c>
      <c r="TL10">
        <v>11</v>
      </c>
      <c r="TM10">
        <v>11</v>
      </c>
      <c r="TN10">
        <v>11</v>
      </c>
      <c r="TO10">
        <v>1</v>
      </c>
      <c r="TP10">
        <v>11</v>
      </c>
      <c r="TQ10">
        <v>11</v>
      </c>
      <c r="TR10">
        <v>11</v>
      </c>
      <c r="TS10">
        <v>1</v>
      </c>
      <c r="TT10">
        <v>11</v>
      </c>
      <c r="TU10">
        <v>11</v>
      </c>
      <c r="TV10">
        <v>11</v>
      </c>
      <c r="TW10">
        <v>1</v>
      </c>
      <c r="TX10">
        <v>11</v>
      </c>
      <c r="TY10">
        <v>11</v>
      </c>
      <c r="TZ10">
        <v>11</v>
      </c>
      <c r="UA10">
        <v>1</v>
      </c>
      <c r="UB10">
        <v>11</v>
      </c>
      <c r="UC10">
        <v>11</v>
      </c>
      <c r="UD10">
        <v>11</v>
      </c>
      <c r="UE10">
        <v>1</v>
      </c>
      <c r="UF10">
        <v>11</v>
      </c>
      <c r="UG10">
        <v>11</v>
      </c>
      <c r="UH10">
        <v>11</v>
      </c>
      <c r="UI10">
        <v>1</v>
      </c>
      <c r="UJ10">
        <v>11</v>
      </c>
      <c r="UK10">
        <v>11</v>
      </c>
      <c r="UL10">
        <v>11</v>
      </c>
      <c r="UM10">
        <v>1</v>
      </c>
      <c r="UN10">
        <v>11</v>
      </c>
      <c r="UO10">
        <v>11</v>
      </c>
      <c r="UP10">
        <v>11</v>
      </c>
      <c r="UQ10">
        <v>1</v>
      </c>
      <c r="UR10">
        <v>11</v>
      </c>
      <c r="US10">
        <v>11</v>
      </c>
      <c r="UT10">
        <v>11</v>
      </c>
      <c r="UU10">
        <v>1</v>
      </c>
      <c r="UV10">
        <v>11</v>
      </c>
      <c r="UW10">
        <v>11</v>
      </c>
      <c r="UX10">
        <v>11</v>
      </c>
      <c r="UY10">
        <v>1</v>
      </c>
      <c r="UZ10">
        <v>11</v>
      </c>
      <c r="VA10">
        <v>11</v>
      </c>
      <c r="VB10">
        <v>11</v>
      </c>
      <c r="VC10">
        <v>1</v>
      </c>
      <c r="VD10">
        <v>11</v>
      </c>
      <c r="VE10">
        <v>11</v>
      </c>
      <c r="VF10">
        <v>11</v>
      </c>
      <c r="VG10">
        <v>1</v>
      </c>
      <c r="VH10">
        <v>11</v>
      </c>
      <c r="VI10">
        <v>11</v>
      </c>
      <c r="VJ10">
        <v>11</v>
      </c>
      <c r="VK10">
        <v>1</v>
      </c>
      <c r="VL10">
        <v>11</v>
      </c>
      <c r="VM10">
        <v>11</v>
      </c>
      <c r="VN10">
        <v>11</v>
      </c>
      <c r="VO10">
        <v>1</v>
      </c>
      <c r="VP10">
        <v>11</v>
      </c>
      <c r="VQ10">
        <v>11</v>
      </c>
      <c r="VR10">
        <v>11</v>
      </c>
      <c r="VS10">
        <v>1</v>
      </c>
      <c r="VT10">
        <v>11</v>
      </c>
      <c r="VU10">
        <v>11</v>
      </c>
      <c r="VV10">
        <v>11</v>
      </c>
      <c r="VW10">
        <v>1</v>
      </c>
      <c r="VX10">
        <v>11</v>
      </c>
      <c r="VY10">
        <v>11</v>
      </c>
      <c r="VZ10">
        <v>11</v>
      </c>
      <c r="WA10">
        <v>1</v>
      </c>
      <c r="WB10">
        <v>11</v>
      </c>
      <c r="WC10">
        <v>11</v>
      </c>
      <c r="WD10">
        <v>11</v>
      </c>
      <c r="WE10">
        <v>1</v>
      </c>
      <c r="WF10">
        <v>11</v>
      </c>
      <c r="WG10">
        <v>11</v>
      </c>
      <c r="WH10">
        <v>11</v>
      </c>
      <c r="WI10">
        <v>1</v>
      </c>
      <c r="WJ10">
        <v>11</v>
      </c>
      <c r="WK10">
        <v>11</v>
      </c>
      <c r="WL10">
        <v>11</v>
      </c>
      <c r="WM10">
        <v>1</v>
      </c>
      <c r="WN10">
        <v>11</v>
      </c>
      <c r="WO10">
        <v>11</v>
      </c>
      <c r="WP10">
        <v>11</v>
      </c>
      <c r="WQ10">
        <v>1</v>
      </c>
      <c r="WR10">
        <v>11</v>
      </c>
      <c r="WS10">
        <v>11</v>
      </c>
      <c r="WT10">
        <v>11</v>
      </c>
      <c r="WU10">
        <v>1</v>
      </c>
      <c r="WV10">
        <v>11</v>
      </c>
      <c r="WW10">
        <v>11</v>
      </c>
      <c r="WX10">
        <v>11</v>
      </c>
      <c r="WY10">
        <v>1</v>
      </c>
      <c r="WZ10">
        <v>11</v>
      </c>
      <c r="XA10">
        <v>11</v>
      </c>
      <c r="XB10">
        <v>11</v>
      </c>
      <c r="XC10">
        <v>1</v>
      </c>
      <c r="XD10">
        <v>11</v>
      </c>
      <c r="XE10">
        <v>11</v>
      </c>
      <c r="XF10">
        <v>11</v>
      </c>
      <c r="XG10">
        <v>1</v>
      </c>
      <c r="XH10">
        <v>11</v>
      </c>
      <c r="XI10">
        <v>11</v>
      </c>
      <c r="XJ10">
        <v>11</v>
      </c>
      <c r="XK10">
        <v>1</v>
      </c>
      <c r="XL10">
        <v>11</v>
      </c>
      <c r="XM10">
        <v>11</v>
      </c>
      <c r="XN10">
        <v>11</v>
      </c>
      <c r="XO10">
        <v>1</v>
      </c>
      <c r="XP10">
        <v>11</v>
      </c>
      <c r="XQ10">
        <v>11</v>
      </c>
      <c r="XR10">
        <v>11</v>
      </c>
      <c r="XS10">
        <v>1</v>
      </c>
      <c r="XT10">
        <v>11</v>
      </c>
      <c r="XU10">
        <v>11</v>
      </c>
      <c r="XV10">
        <v>11</v>
      </c>
      <c r="XW10">
        <v>1</v>
      </c>
      <c r="XX10">
        <v>11</v>
      </c>
      <c r="XY10">
        <v>11</v>
      </c>
      <c r="XZ10">
        <v>11</v>
      </c>
      <c r="YA10">
        <v>1</v>
      </c>
      <c r="YB10">
        <v>11</v>
      </c>
      <c r="YC10">
        <v>11</v>
      </c>
      <c r="YD10">
        <v>11</v>
      </c>
      <c r="YE10">
        <v>1</v>
      </c>
      <c r="YF10">
        <v>11</v>
      </c>
      <c r="YG10">
        <v>11</v>
      </c>
      <c r="YH10">
        <v>11</v>
      </c>
      <c r="YI10">
        <v>1</v>
      </c>
      <c r="YJ10">
        <v>11</v>
      </c>
      <c r="YK10">
        <v>11</v>
      </c>
      <c r="YL10">
        <v>11</v>
      </c>
      <c r="YM10">
        <v>1</v>
      </c>
      <c r="YN10">
        <v>11</v>
      </c>
      <c r="YO10">
        <v>11</v>
      </c>
      <c r="YP10">
        <v>11</v>
      </c>
      <c r="YQ10">
        <v>1</v>
      </c>
      <c r="YR10">
        <v>11</v>
      </c>
      <c r="YS10">
        <v>11</v>
      </c>
      <c r="YT10">
        <v>11</v>
      </c>
      <c r="YU10">
        <v>1</v>
      </c>
      <c r="YV10">
        <v>11</v>
      </c>
      <c r="YW10">
        <v>11</v>
      </c>
      <c r="YX10">
        <v>11</v>
      </c>
      <c r="YY10">
        <v>1</v>
      </c>
      <c r="YZ10">
        <v>11</v>
      </c>
      <c r="ZA10">
        <v>11</v>
      </c>
      <c r="ZB10">
        <v>11</v>
      </c>
      <c r="ZC10">
        <v>1</v>
      </c>
      <c r="ZD10">
        <v>11</v>
      </c>
      <c r="ZE10">
        <v>11</v>
      </c>
      <c r="ZF10">
        <v>11</v>
      </c>
      <c r="ZG10">
        <v>1</v>
      </c>
      <c r="ZH10">
        <v>11</v>
      </c>
      <c r="ZI10">
        <v>11</v>
      </c>
      <c r="ZJ10">
        <v>11</v>
      </c>
      <c r="ZK10">
        <v>1</v>
      </c>
      <c r="ZL10">
        <v>11</v>
      </c>
      <c r="ZM10">
        <v>11</v>
      </c>
      <c r="ZN10">
        <v>11</v>
      </c>
      <c r="ZO10">
        <v>1</v>
      </c>
      <c r="ZP10">
        <v>11</v>
      </c>
      <c r="ZQ10">
        <v>11</v>
      </c>
      <c r="ZR10">
        <v>11</v>
      </c>
      <c r="ZS10">
        <v>1</v>
      </c>
      <c r="ZT10">
        <v>11</v>
      </c>
      <c r="ZU10">
        <v>11</v>
      </c>
      <c r="ZV10">
        <v>11</v>
      </c>
      <c r="ZW10">
        <v>1</v>
      </c>
      <c r="ZX10">
        <v>11</v>
      </c>
      <c r="ZY10">
        <v>11</v>
      </c>
      <c r="ZZ10">
        <v>11</v>
      </c>
      <c r="AAA10">
        <v>1</v>
      </c>
      <c r="AAB10">
        <v>11</v>
      </c>
      <c r="AAC10">
        <v>11</v>
      </c>
      <c r="AAD10">
        <v>11</v>
      </c>
      <c r="AAE10">
        <v>1</v>
      </c>
      <c r="AAF10">
        <v>11</v>
      </c>
      <c r="AAG10">
        <v>11</v>
      </c>
      <c r="AAH10">
        <v>11</v>
      </c>
      <c r="AAI10">
        <v>1</v>
      </c>
      <c r="AAJ10">
        <v>11</v>
      </c>
      <c r="AAK10">
        <v>11</v>
      </c>
      <c r="AAL10">
        <v>11</v>
      </c>
      <c r="AAM10">
        <v>1</v>
      </c>
      <c r="AAN10">
        <v>11</v>
      </c>
      <c r="AAO10">
        <v>11</v>
      </c>
      <c r="AAP10">
        <v>11</v>
      </c>
      <c r="AAQ10">
        <v>1</v>
      </c>
      <c r="AAR10">
        <v>11</v>
      </c>
      <c r="AAS10">
        <v>11</v>
      </c>
      <c r="AAT10">
        <v>11</v>
      </c>
      <c r="AAU10">
        <v>1</v>
      </c>
      <c r="AAV10">
        <v>11</v>
      </c>
      <c r="AAW10">
        <v>11</v>
      </c>
      <c r="AAX10">
        <v>11</v>
      </c>
      <c r="AAY10">
        <v>1</v>
      </c>
      <c r="AAZ10">
        <v>11</v>
      </c>
      <c r="ABA10">
        <v>11</v>
      </c>
      <c r="ABB10">
        <v>11</v>
      </c>
      <c r="ABC10">
        <v>1</v>
      </c>
      <c r="ABD10">
        <v>11</v>
      </c>
      <c r="ABE10">
        <v>11</v>
      </c>
      <c r="ABF10">
        <v>11</v>
      </c>
      <c r="ABG10">
        <v>1</v>
      </c>
      <c r="ABH10">
        <v>11</v>
      </c>
      <c r="ABI10">
        <v>11</v>
      </c>
      <c r="ABJ10">
        <v>11</v>
      </c>
      <c r="ABK10">
        <v>1</v>
      </c>
      <c r="ABL10">
        <v>11</v>
      </c>
      <c r="ABM10">
        <v>11</v>
      </c>
      <c r="ABN10">
        <v>11</v>
      </c>
      <c r="ABO10">
        <v>1</v>
      </c>
      <c r="ABP10">
        <v>11</v>
      </c>
      <c r="ABQ10">
        <v>11</v>
      </c>
      <c r="ABR10">
        <v>11</v>
      </c>
      <c r="ABS10">
        <v>1</v>
      </c>
      <c r="ABT10">
        <v>11</v>
      </c>
      <c r="ABU10">
        <v>11</v>
      </c>
      <c r="ABV10">
        <v>11</v>
      </c>
      <c r="ABW10">
        <v>1</v>
      </c>
      <c r="ABX10">
        <v>11</v>
      </c>
      <c r="ABY10">
        <v>11</v>
      </c>
      <c r="ABZ10">
        <v>11</v>
      </c>
      <c r="ACA10">
        <v>1</v>
      </c>
      <c r="ACB10">
        <v>11</v>
      </c>
      <c r="ACC10">
        <v>11</v>
      </c>
      <c r="ACD10">
        <v>11</v>
      </c>
      <c r="ACE10">
        <v>1</v>
      </c>
      <c r="ACF10">
        <v>11</v>
      </c>
      <c r="ACG10">
        <v>11</v>
      </c>
      <c r="ACH10">
        <v>11</v>
      </c>
      <c r="ACI10">
        <v>1</v>
      </c>
      <c r="ACJ10">
        <v>11</v>
      </c>
      <c r="ACK10">
        <v>11</v>
      </c>
      <c r="ACL10">
        <v>11</v>
      </c>
      <c r="ACM10">
        <v>1</v>
      </c>
      <c r="ACN10">
        <v>11</v>
      </c>
      <c r="ACO10">
        <v>11</v>
      </c>
      <c r="ACP10">
        <v>11</v>
      </c>
      <c r="ACQ10">
        <v>1</v>
      </c>
      <c r="ACR10">
        <v>11</v>
      </c>
      <c r="ACS10">
        <v>11</v>
      </c>
      <c r="ACT10">
        <v>11</v>
      </c>
      <c r="ACU10">
        <v>1</v>
      </c>
      <c r="ACV10">
        <v>11</v>
      </c>
      <c r="ACW10">
        <v>11</v>
      </c>
      <c r="ACX10">
        <v>11</v>
      </c>
      <c r="ACY10">
        <v>1</v>
      </c>
      <c r="ACZ10">
        <v>11</v>
      </c>
      <c r="ADA10">
        <v>11</v>
      </c>
      <c r="ADB10">
        <v>11</v>
      </c>
      <c r="ADC10">
        <v>1</v>
      </c>
      <c r="ADD10">
        <v>11</v>
      </c>
      <c r="ADE10">
        <v>11</v>
      </c>
      <c r="ADF10">
        <v>11</v>
      </c>
      <c r="ADG10">
        <v>1</v>
      </c>
      <c r="ADH10">
        <v>11</v>
      </c>
      <c r="ADI10">
        <v>11</v>
      </c>
      <c r="ADJ10">
        <v>11</v>
      </c>
      <c r="ADK10">
        <v>11</v>
      </c>
      <c r="ADL10">
        <v>1</v>
      </c>
      <c r="ADM10">
        <v>11</v>
      </c>
      <c r="ADN10">
        <v>11</v>
      </c>
      <c r="ADO10">
        <v>11</v>
      </c>
      <c r="ADP10">
        <v>1</v>
      </c>
      <c r="ADQ10">
        <v>11</v>
      </c>
      <c r="ADR10">
        <v>11</v>
      </c>
      <c r="ADS10">
        <v>11</v>
      </c>
      <c r="ADT10">
        <v>1</v>
      </c>
      <c r="ADU10">
        <v>11</v>
      </c>
      <c r="ADV10">
        <v>11</v>
      </c>
      <c r="ADW10">
        <v>11</v>
      </c>
      <c r="ADX10">
        <v>1</v>
      </c>
      <c r="ADY10">
        <v>11</v>
      </c>
      <c r="ADZ10">
        <v>11</v>
      </c>
      <c r="AEA10">
        <v>11</v>
      </c>
      <c r="AEB10">
        <v>1</v>
      </c>
      <c r="AEC10">
        <v>11</v>
      </c>
      <c r="AED10">
        <v>11</v>
      </c>
      <c r="AEE10">
        <v>11</v>
      </c>
      <c r="AEF10">
        <v>1</v>
      </c>
      <c r="AEG10">
        <v>11</v>
      </c>
      <c r="AEH10">
        <v>11</v>
      </c>
      <c r="AEI10">
        <v>11</v>
      </c>
      <c r="AEJ10">
        <v>1</v>
      </c>
      <c r="AEK10">
        <v>11</v>
      </c>
      <c r="AEL10">
        <v>11</v>
      </c>
      <c r="AEM10">
        <v>11</v>
      </c>
      <c r="AEN10">
        <v>1</v>
      </c>
      <c r="AEO10">
        <v>11</v>
      </c>
      <c r="AEP10">
        <v>11</v>
      </c>
      <c r="AEQ10">
        <v>11</v>
      </c>
      <c r="AER10">
        <v>1</v>
      </c>
      <c r="AES10">
        <v>11</v>
      </c>
      <c r="AET10">
        <v>11</v>
      </c>
      <c r="AEU10">
        <v>11</v>
      </c>
      <c r="AEV10">
        <v>1</v>
      </c>
      <c r="AEW10">
        <v>11</v>
      </c>
      <c r="AEX10">
        <v>11</v>
      </c>
      <c r="AEY10">
        <v>11</v>
      </c>
      <c r="AEZ10">
        <v>1</v>
      </c>
      <c r="AFA10">
        <v>11</v>
      </c>
      <c r="AFB10">
        <v>11</v>
      </c>
      <c r="AFC10">
        <v>11</v>
      </c>
      <c r="AFD10">
        <v>1</v>
      </c>
      <c r="AFE10">
        <v>11</v>
      </c>
      <c r="AFF10">
        <v>11</v>
      </c>
      <c r="AFG10">
        <v>11</v>
      </c>
      <c r="AFH10">
        <v>1</v>
      </c>
      <c r="AFI10">
        <v>11</v>
      </c>
      <c r="AFJ10">
        <v>11</v>
      </c>
      <c r="AFK10">
        <v>11</v>
      </c>
      <c r="AFL10">
        <v>1</v>
      </c>
      <c r="AFM10">
        <v>11</v>
      </c>
      <c r="AFN10">
        <v>11</v>
      </c>
      <c r="AFO10">
        <v>11</v>
      </c>
      <c r="AFP10">
        <v>1</v>
      </c>
      <c r="AFQ10">
        <v>11</v>
      </c>
      <c r="AFR10">
        <v>11</v>
      </c>
      <c r="AFS10">
        <v>11</v>
      </c>
      <c r="AFT10">
        <v>1</v>
      </c>
      <c r="AFU10">
        <v>11</v>
      </c>
      <c r="AFV10">
        <v>11</v>
      </c>
      <c r="AFW10">
        <v>11</v>
      </c>
      <c r="AFX10">
        <v>1</v>
      </c>
      <c r="AFY10">
        <v>11</v>
      </c>
      <c r="AFZ10">
        <v>11</v>
      </c>
      <c r="AGA10">
        <v>11</v>
      </c>
      <c r="AGB10">
        <v>1</v>
      </c>
      <c r="AGC10">
        <v>11</v>
      </c>
      <c r="AGD10">
        <v>11</v>
      </c>
      <c r="AGE10">
        <v>11</v>
      </c>
      <c r="AGF10">
        <v>1</v>
      </c>
      <c r="AGG10">
        <v>11</v>
      </c>
      <c r="AGH10">
        <v>11</v>
      </c>
      <c r="AGI10">
        <v>11</v>
      </c>
      <c r="AGJ10">
        <v>1</v>
      </c>
      <c r="AGK10">
        <v>11</v>
      </c>
      <c r="AGL10">
        <v>11</v>
      </c>
      <c r="AGM10">
        <v>11</v>
      </c>
      <c r="AGN10">
        <v>1</v>
      </c>
      <c r="AGO10">
        <v>11</v>
      </c>
      <c r="AGP10">
        <v>11</v>
      </c>
      <c r="AGQ10">
        <v>11</v>
      </c>
      <c r="AGR10">
        <v>1</v>
      </c>
      <c r="AGS10">
        <v>11</v>
      </c>
      <c r="AGT10">
        <v>11</v>
      </c>
      <c r="AGU10">
        <v>11</v>
      </c>
      <c r="AGV10">
        <v>1</v>
      </c>
      <c r="AGW10">
        <v>11</v>
      </c>
      <c r="AGX10">
        <v>11</v>
      </c>
      <c r="AGY10">
        <v>11</v>
      </c>
      <c r="AGZ10">
        <v>1</v>
      </c>
      <c r="AHA10">
        <v>11</v>
      </c>
      <c r="AHB10">
        <v>11</v>
      </c>
      <c r="AHC10">
        <v>11</v>
      </c>
      <c r="AHD10">
        <v>1</v>
      </c>
      <c r="AHE10">
        <v>11</v>
      </c>
      <c r="AHF10">
        <v>11</v>
      </c>
      <c r="AHG10">
        <v>11</v>
      </c>
      <c r="AHH10">
        <v>1</v>
      </c>
      <c r="AHI10">
        <v>11</v>
      </c>
      <c r="AHJ10">
        <v>11</v>
      </c>
      <c r="AHK10">
        <v>11</v>
      </c>
      <c r="AHL10">
        <v>1</v>
      </c>
      <c r="AHM10">
        <v>11</v>
      </c>
      <c r="AHN10">
        <v>11</v>
      </c>
      <c r="AHO10">
        <v>11</v>
      </c>
      <c r="AHP10">
        <v>1</v>
      </c>
      <c r="AHQ10">
        <v>11</v>
      </c>
      <c r="AHR10">
        <v>11</v>
      </c>
      <c r="AHS10">
        <v>11</v>
      </c>
      <c r="AHT10">
        <v>1</v>
      </c>
      <c r="AHU10">
        <v>11</v>
      </c>
      <c r="AHV10">
        <v>11</v>
      </c>
      <c r="AHW10">
        <v>11</v>
      </c>
      <c r="AHX10">
        <v>1</v>
      </c>
      <c r="AHY10">
        <v>11</v>
      </c>
      <c r="AHZ10">
        <v>11</v>
      </c>
      <c r="AIA10">
        <v>11</v>
      </c>
      <c r="AIB10">
        <v>1</v>
      </c>
      <c r="AIC10">
        <v>11</v>
      </c>
      <c r="AID10">
        <v>11</v>
      </c>
      <c r="AIE10">
        <v>11</v>
      </c>
      <c r="AIF10">
        <v>1</v>
      </c>
      <c r="AIG10">
        <v>11</v>
      </c>
      <c r="AIH10">
        <v>11</v>
      </c>
      <c r="AII10">
        <v>11</v>
      </c>
      <c r="AIJ10">
        <v>1</v>
      </c>
      <c r="AIK10">
        <v>11</v>
      </c>
      <c r="AIL10">
        <v>11</v>
      </c>
      <c r="AIM10">
        <v>11</v>
      </c>
      <c r="AIN10">
        <v>1</v>
      </c>
      <c r="AIO10">
        <v>11</v>
      </c>
      <c r="AIP10">
        <v>11</v>
      </c>
      <c r="AIQ10">
        <v>11</v>
      </c>
      <c r="AIR10">
        <v>1</v>
      </c>
      <c r="AIS10">
        <v>11</v>
      </c>
      <c r="AIT10">
        <v>11</v>
      </c>
      <c r="AIU10">
        <v>11</v>
      </c>
      <c r="AIV10">
        <v>1</v>
      </c>
      <c r="AIW10">
        <v>11</v>
      </c>
      <c r="AIX10">
        <v>11</v>
      </c>
      <c r="AIY10">
        <v>11</v>
      </c>
      <c r="AIZ10">
        <v>1</v>
      </c>
      <c r="AJA10">
        <v>11</v>
      </c>
      <c r="AJB10">
        <v>11</v>
      </c>
      <c r="AJC10">
        <v>11</v>
      </c>
      <c r="AJD10">
        <v>1</v>
      </c>
      <c r="AJE10">
        <v>11</v>
      </c>
      <c r="AJF10">
        <v>11</v>
      </c>
      <c r="AJG10">
        <v>11</v>
      </c>
      <c r="AJH10">
        <v>1</v>
      </c>
      <c r="AJI10">
        <v>11</v>
      </c>
      <c r="AJJ10">
        <v>11</v>
      </c>
      <c r="AJK10">
        <v>11</v>
      </c>
      <c r="AJL10">
        <v>1</v>
      </c>
      <c r="AJM10">
        <v>11</v>
      </c>
      <c r="AJN10">
        <v>11</v>
      </c>
      <c r="AJO10">
        <v>11</v>
      </c>
      <c r="AJP10">
        <v>1</v>
      </c>
      <c r="AJQ10">
        <v>11</v>
      </c>
      <c r="AJR10">
        <v>11</v>
      </c>
      <c r="AJS10">
        <v>11</v>
      </c>
      <c r="AJT10">
        <v>1</v>
      </c>
      <c r="AJU10">
        <v>11</v>
      </c>
      <c r="AJV10">
        <v>11</v>
      </c>
      <c r="AJW10">
        <v>11</v>
      </c>
      <c r="AJX10">
        <v>1</v>
      </c>
      <c r="AJY10">
        <v>11</v>
      </c>
      <c r="AJZ10">
        <v>11</v>
      </c>
      <c r="AKA10">
        <v>11</v>
      </c>
      <c r="AKB10">
        <v>1</v>
      </c>
      <c r="AKC10">
        <v>11</v>
      </c>
      <c r="AKD10">
        <v>11</v>
      </c>
      <c r="AKE10">
        <v>11</v>
      </c>
      <c r="AKF10">
        <v>1</v>
      </c>
      <c r="AKG10">
        <v>11</v>
      </c>
      <c r="AKH10">
        <v>11</v>
      </c>
      <c r="AKI10">
        <v>11</v>
      </c>
      <c r="AKJ10">
        <v>11</v>
      </c>
    </row>
    <row r="11" spans="1:972" x14ac:dyDescent="0.25">
      <c r="A11" t="s">
        <v>80</v>
      </c>
      <c r="B11" t="s">
        <v>79</v>
      </c>
      <c r="C11" s="48" t="s">
        <v>78</v>
      </c>
      <c r="D11" s="48" t="s">
        <v>77</v>
      </c>
    </row>
    <row r="12" spans="1:972" x14ac:dyDescent="0.25">
      <c r="A12" t="s">
        <v>76</v>
      </c>
      <c r="B12">
        <v>2</v>
      </c>
      <c r="C12">
        <v>733</v>
      </c>
      <c r="D12">
        <v>236</v>
      </c>
    </row>
    <row r="13" spans="1:972" x14ac:dyDescent="0.25">
      <c r="A13" t="s">
        <v>75</v>
      </c>
      <c r="B13">
        <v>0.21</v>
      </c>
      <c r="C13">
        <v>75.489999999999995</v>
      </c>
      <c r="D13">
        <v>24.3</v>
      </c>
    </row>
    <row r="15" spans="1:972" x14ac:dyDescent="0.25">
      <c r="A15" t="s">
        <v>1</v>
      </c>
      <c r="B15" t="s">
        <v>51</v>
      </c>
    </row>
    <row r="16" spans="1:972" x14ac:dyDescent="0.25">
      <c r="A16" t="s">
        <v>0</v>
      </c>
      <c r="B16" t="s">
        <v>53</v>
      </c>
    </row>
    <row r="17" spans="1:237" x14ac:dyDescent="0.25">
      <c r="A17" t="s">
        <v>81</v>
      </c>
      <c r="B17">
        <v>28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11</v>
      </c>
      <c r="J17">
        <v>11</v>
      </c>
      <c r="K17">
        <v>11</v>
      </c>
      <c r="L17">
        <v>11</v>
      </c>
      <c r="M17">
        <v>11</v>
      </c>
      <c r="N17">
        <v>11</v>
      </c>
      <c r="O17">
        <v>11</v>
      </c>
      <c r="P17">
        <v>11</v>
      </c>
      <c r="Q17">
        <v>28</v>
      </c>
      <c r="R17">
        <v>11</v>
      </c>
      <c r="S17">
        <v>11</v>
      </c>
      <c r="T17">
        <v>11</v>
      </c>
      <c r="U17">
        <v>11</v>
      </c>
      <c r="V17">
        <v>11</v>
      </c>
      <c r="W17">
        <v>11</v>
      </c>
      <c r="X17">
        <v>11</v>
      </c>
      <c r="Y17">
        <v>11</v>
      </c>
      <c r="Z17">
        <v>11</v>
      </c>
      <c r="AA17">
        <v>11</v>
      </c>
      <c r="AB17">
        <v>11</v>
      </c>
      <c r="AC17">
        <v>11</v>
      </c>
      <c r="AD17">
        <v>11</v>
      </c>
      <c r="AE17">
        <v>11</v>
      </c>
      <c r="AF17">
        <v>11</v>
      </c>
      <c r="AG17">
        <v>11</v>
      </c>
      <c r="AH17">
        <v>11</v>
      </c>
      <c r="AI17">
        <v>11</v>
      </c>
      <c r="AJ17">
        <v>11</v>
      </c>
      <c r="AK17">
        <v>11</v>
      </c>
      <c r="AL17">
        <v>11</v>
      </c>
      <c r="AM17">
        <v>11</v>
      </c>
      <c r="AN17">
        <v>11</v>
      </c>
      <c r="AO17">
        <v>11</v>
      </c>
      <c r="AP17">
        <v>11</v>
      </c>
      <c r="AQ17">
        <v>11</v>
      </c>
      <c r="AR17">
        <v>11</v>
      </c>
      <c r="AS17">
        <v>11</v>
      </c>
      <c r="AT17">
        <v>11</v>
      </c>
      <c r="AU17">
        <v>11</v>
      </c>
      <c r="AV17">
        <v>11</v>
      </c>
      <c r="AW17">
        <v>11</v>
      </c>
      <c r="AX17">
        <v>11</v>
      </c>
      <c r="AY17">
        <v>11</v>
      </c>
      <c r="AZ17">
        <v>11</v>
      </c>
      <c r="BA17">
        <v>11</v>
      </c>
      <c r="BB17">
        <v>11</v>
      </c>
      <c r="BC17">
        <v>11</v>
      </c>
      <c r="BD17">
        <v>11</v>
      </c>
      <c r="BE17">
        <v>11</v>
      </c>
      <c r="BF17">
        <v>11</v>
      </c>
      <c r="BG17">
        <v>11</v>
      </c>
      <c r="BH17">
        <v>11</v>
      </c>
      <c r="BI17">
        <v>11</v>
      </c>
      <c r="BJ17">
        <v>11</v>
      </c>
      <c r="BK17">
        <v>11</v>
      </c>
      <c r="BL17">
        <v>11</v>
      </c>
      <c r="BM17">
        <v>11</v>
      </c>
      <c r="BN17">
        <v>11</v>
      </c>
      <c r="BO17">
        <v>11</v>
      </c>
      <c r="BP17">
        <v>11</v>
      </c>
      <c r="BQ17">
        <v>11</v>
      </c>
      <c r="BR17">
        <v>11</v>
      </c>
      <c r="BS17">
        <v>11</v>
      </c>
      <c r="BT17">
        <v>11</v>
      </c>
      <c r="BU17">
        <v>11</v>
      </c>
      <c r="BV17">
        <v>11</v>
      </c>
      <c r="BW17">
        <v>11</v>
      </c>
      <c r="BX17">
        <v>11</v>
      </c>
      <c r="BY17">
        <v>11</v>
      </c>
      <c r="BZ17">
        <v>11</v>
      </c>
      <c r="CA17">
        <v>11</v>
      </c>
      <c r="CB17">
        <v>11</v>
      </c>
      <c r="CC17">
        <v>11</v>
      </c>
      <c r="CD17">
        <v>11</v>
      </c>
      <c r="CE17">
        <v>11</v>
      </c>
      <c r="CF17">
        <v>11</v>
      </c>
      <c r="CG17">
        <v>11</v>
      </c>
      <c r="CH17">
        <v>11</v>
      </c>
      <c r="CI17">
        <v>11</v>
      </c>
      <c r="CJ17">
        <v>11</v>
      </c>
      <c r="CK17">
        <v>11</v>
      </c>
      <c r="CL17">
        <v>11</v>
      </c>
      <c r="CM17">
        <v>11</v>
      </c>
      <c r="CN17">
        <v>11</v>
      </c>
      <c r="CO17">
        <v>11</v>
      </c>
      <c r="CP17">
        <v>11</v>
      </c>
      <c r="CQ17">
        <v>11</v>
      </c>
      <c r="CR17">
        <v>11</v>
      </c>
      <c r="CS17">
        <v>11</v>
      </c>
      <c r="CT17">
        <v>11</v>
      </c>
      <c r="CU17">
        <v>11</v>
      </c>
      <c r="CV17">
        <v>11</v>
      </c>
      <c r="CW17">
        <v>11</v>
      </c>
      <c r="CX17">
        <v>11</v>
      </c>
      <c r="CY17">
        <v>11</v>
      </c>
      <c r="CZ17">
        <v>11</v>
      </c>
      <c r="DA17">
        <v>11</v>
      </c>
      <c r="DB17">
        <v>11</v>
      </c>
      <c r="DC17">
        <v>11</v>
      </c>
      <c r="DD17">
        <v>11</v>
      </c>
      <c r="DE17">
        <v>11</v>
      </c>
      <c r="DF17">
        <v>11</v>
      </c>
      <c r="DG17">
        <v>11</v>
      </c>
      <c r="DH17">
        <v>11</v>
      </c>
      <c r="DI17">
        <v>11</v>
      </c>
      <c r="DJ17">
        <v>11</v>
      </c>
      <c r="DK17">
        <v>11</v>
      </c>
      <c r="DL17">
        <v>11</v>
      </c>
      <c r="DM17">
        <v>11</v>
      </c>
      <c r="DN17">
        <v>11</v>
      </c>
      <c r="DO17">
        <v>11</v>
      </c>
      <c r="DP17">
        <v>11</v>
      </c>
      <c r="DQ17">
        <v>11</v>
      </c>
      <c r="DR17">
        <v>11</v>
      </c>
      <c r="DS17">
        <v>11</v>
      </c>
      <c r="DT17">
        <v>11</v>
      </c>
      <c r="DU17">
        <v>11</v>
      </c>
      <c r="DV17">
        <v>11</v>
      </c>
      <c r="DW17">
        <v>11</v>
      </c>
      <c r="DX17">
        <v>11</v>
      </c>
      <c r="DY17">
        <v>11</v>
      </c>
      <c r="DZ17">
        <v>11</v>
      </c>
      <c r="EA17">
        <v>11</v>
      </c>
      <c r="EB17">
        <v>11</v>
      </c>
      <c r="EC17">
        <v>11</v>
      </c>
      <c r="ED17">
        <v>11</v>
      </c>
      <c r="EE17">
        <v>11</v>
      </c>
      <c r="EF17">
        <v>11</v>
      </c>
      <c r="EG17">
        <v>11</v>
      </c>
      <c r="EH17">
        <v>11</v>
      </c>
      <c r="EI17">
        <v>11</v>
      </c>
      <c r="EJ17">
        <v>11</v>
      </c>
      <c r="EK17">
        <v>11</v>
      </c>
      <c r="EL17">
        <v>11</v>
      </c>
      <c r="EM17">
        <v>11</v>
      </c>
      <c r="EN17">
        <v>11</v>
      </c>
      <c r="EO17">
        <v>11</v>
      </c>
      <c r="EP17">
        <v>11</v>
      </c>
      <c r="EQ17">
        <v>11</v>
      </c>
      <c r="ER17">
        <v>11</v>
      </c>
      <c r="ES17">
        <v>11</v>
      </c>
      <c r="ET17">
        <v>11</v>
      </c>
      <c r="EU17">
        <v>11</v>
      </c>
      <c r="EV17">
        <v>11</v>
      </c>
      <c r="EW17">
        <v>11</v>
      </c>
      <c r="EX17">
        <v>11</v>
      </c>
      <c r="EY17">
        <v>11</v>
      </c>
      <c r="EZ17">
        <v>11</v>
      </c>
      <c r="FA17">
        <v>11</v>
      </c>
      <c r="FB17">
        <v>11</v>
      </c>
      <c r="FC17">
        <v>11</v>
      </c>
      <c r="FD17">
        <v>11</v>
      </c>
      <c r="FE17">
        <v>11</v>
      </c>
      <c r="FF17">
        <v>11</v>
      </c>
      <c r="FG17">
        <v>11</v>
      </c>
      <c r="FH17">
        <v>11</v>
      </c>
      <c r="FI17">
        <v>11</v>
      </c>
      <c r="FJ17">
        <v>11</v>
      </c>
      <c r="FK17">
        <v>11</v>
      </c>
      <c r="FL17">
        <v>11</v>
      </c>
      <c r="FM17">
        <v>11</v>
      </c>
      <c r="FN17">
        <v>11</v>
      </c>
      <c r="FO17">
        <v>11</v>
      </c>
      <c r="FP17">
        <v>11</v>
      </c>
      <c r="FQ17">
        <v>11</v>
      </c>
      <c r="FR17">
        <v>11</v>
      </c>
      <c r="FS17">
        <v>11</v>
      </c>
      <c r="FT17">
        <v>11</v>
      </c>
      <c r="FU17">
        <v>11</v>
      </c>
      <c r="FV17">
        <v>11</v>
      </c>
      <c r="FW17">
        <v>11</v>
      </c>
      <c r="FX17">
        <v>11</v>
      </c>
      <c r="FY17">
        <v>11</v>
      </c>
      <c r="FZ17">
        <v>11</v>
      </c>
      <c r="GA17">
        <v>11</v>
      </c>
      <c r="GB17">
        <v>11</v>
      </c>
      <c r="GC17">
        <v>11</v>
      </c>
      <c r="GD17">
        <v>11</v>
      </c>
      <c r="GE17">
        <v>11</v>
      </c>
      <c r="GF17">
        <v>11</v>
      </c>
      <c r="GG17">
        <v>11</v>
      </c>
      <c r="GH17">
        <v>11</v>
      </c>
      <c r="GI17">
        <v>11</v>
      </c>
      <c r="GJ17">
        <v>11</v>
      </c>
      <c r="GK17">
        <v>11</v>
      </c>
      <c r="GL17">
        <v>11</v>
      </c>
      <c r="GM17">
        <v>11</v>
      </c>
      <c r="GN17">
        <v>11</v>
      </c>
      <c r="GO17">
        <v>11</v>
      </c>
      <c r="GP17">
        <v>11</v>
      </c>
      <c r="GQ17">
        <v>11</v>
      </c>
      <c r="GR17">
        <v>11</v>
      </c>
      <c r="GS17">
        <v>11</v>
      </c>
      <c r="GT17">
        <v>11</v>
      </c>
      <c r="GU17">
        <v>11</v>
      </c>
      <c r="GV17">
        <v>11</v>
      </c>
      <c r="GW17">
        <v>11</v>
      </c>
      <c r="GX17">
        <v>11</v>
      </c>
      <c r="GY17">
        <v>11</v>
      </c>
      <c r="GZ17">
        <v>11</v>
      </c>
      <c r="HA17">
        <v>11</v>
      </c>
      <c r="HB17">
        <v>11</v>
      </c>
      <c r="HC17">
        <v>11</v>
      </c>
      <c r="HD17">
        <v>11</v>
      </c>
      <c r="HE17">
        <v>11</v>
      </c>
      <c r="HF17">
        <v>11</v>
      </c>
      <c r="HG17">
        <v>11</v>
      </c>
      <c r="HH17">
        <v>11</v>
      </c>
      <c r="HI17">
        <v>11</v>
      </c>
      <c r="HJ17">
        <v>11</v>
      </c>
      <c r="HK17">
        <v>11</v>
      </c>
      <c r="HL17">
        <v>11</v>
      </c>
      <c r="HM17">
        <v>11</v>
      </c>
      <c r="HN17">
        <v>11</v>
      </c>
      <c r="HO17">
        <v>11</v>
      </c>
      <c r="HP17">
        <v>11</v>
      </c>
      <c r="HQ17">
        <v>11</v>
      </c>
      <c r="HR17">
        <v>11</v>
      </c>
      <c r="HS17">
        <v>11</v>
      </c>
      <c r="HT17">
        <v>11</v>
      </c>
      <c r="HU17">
        <v>11</v>
      </c>
      <c r="HV17">
        <v>11</v>
      </c>
      <c r="HW17">
        <v>11</v>
      </c>
      <c r="HX17">
        <v>11</v>
      </c>
      <c r="HY17">
        <v>11</v>
      </c>
      <c r="HZ17">
        <v>11</v>
      </c>
      <c r="IA17">
        <v>11</v>
      </c>
      <c r="IB17">
        <v>11</v>
      </c>
      <c r="IC17">
        <v>11</v>
      </c>
    </row>
    <row r="18" spans="1:237" x14ac:dyDescent="0.25">
      <c r="A18" t="s">
        <v>80</v>
      </c>
      <c r="B18" t="s">
        <v>79</v>
      </c>
      <c r="C18" s="48" t="s">
        <v>78</v>
      </c>
      <c r="D18" s="48" t="s">
        <v>77</v>
      </c>
    </row>
    <row r="19" spans="1:237" x14ac:dyDescent="0.25">
      <c r="A19" t="s">
        <v>76</v>
      </c>
      <c r="B19">
        <v>2</v>
      </c>
      <c r="C19">
        <v>234</v>
      </c>
      <c r="D19">
        <v>0</v>
      </c>
    </row>
    <row r="20" spans="1:237" x14ac:dyDescent="0.25">
      <c r="A20" t="s">
        <v>75</v>
      </c>
      <c r="B20">
        <v>0.85</v>
      </c>
      <c r="C20">
        <v>99.15</v>
      </c>
      <c r="D20">
        <v>0</v>
      </c>
    </row>
    <row r="22" spans="1:237" x14ac:dyDescent="0.25">
      <c r="A22" t="s">
        <v>1</v>
      </c>
      <c r="B22" t="s">
        <v>51</v>
      </c>
    </row>
    <row r="23" spans="1:237" x14ac:dyDescent="0.25">
      <c r="A23" t="s">
        <v>0</v>
      </c>
      <c r="B23" t="s">
        <v>55</v>
      </c>
    </row>
    <row r="24" spans="1:237" x14ac:dyDescent="0.25">
      <c r="A24" t="s">
        <v>81</v>
      </c>
      <c r="B24">
        <v>28</v>
      </c>
      <c r="C24">
        <v>11</v>
      </c>
      <c r="D24">
        <v>11</v>
      </c>
      <c r="E24">
        <v>11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28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11</v>
      </c>
      <c r="Z24">
        <v>11</v>
      </c>
      <c r="AA24">
        <v>11</v>
      </c>
      <c r="AB24">
        <v>11</v>
      </c>
    </row>
    <row r="25" spans="1:237" x14ac:dyDescent="0.25">
      <c r="A25" t="s">
        <v>80</v>
      </c>
      <c r="B25" t="s">
        <v>79</v>
      </c>
      <c r="C25" s="48" t="s">
        <v>78</v>
      </c>
      <c r="D25" s="48" t="s">
        <v>77</v>
      </c>
    </row>
    <row r="26" spans="1:237" x14ac:dyDescent="0.25">
      <c r="A26" t="s">
        <v>76</v>
      </c>
      <c r="B26">
        <v>2</v>
      </c>
      <c r="C26">
        <v>25</v>
      </c>
      <c r="D26">
        <v>0</v>
      </c>
    </row>
    <row r="27" spans="1:237" x14ac:dyDescent="0.25">
      <c r="A27" t="s">
        <v>75</v>
      </c>
      <c r="B27">
        <v>7.41</v>
      </c>
      <c r="C27">
        <v>92.59</v>
      </c>
      <c r="D27">
        <v>0</v>
      </c>
    </row>
    <row r="29" spans="1:237" x14ac:dyDescent="0.25">
      <c r="A29" t="s">
        <v>1</v>
      </c>
      <c r="B29" t="s">
        <v>51</v>
      </c>
    </row>
    <row r="30" spans="1:237" x14ac:dyDescent="0.25">
      <c r="A30" t="s">
        <v>0</v>
      </c>
      <c r="B30" t="s">
        <v>54</v>
      </c>
    </row>
    <row r="31" spans="1:237" x14ac:dyDescent="0.25">
      <c r="A31" t="s">
        <v>81</v>
      </c>
      <c r="B31">
        <v>28</v>
      </c>
      <c r="C31">
        <v>11</v>
      </c>
      <c r="D31">
        <v>11</v>
      </c>
      <c r="E31">
        <v>11</v>
      </c>
      <c r="F31">
        <v>11</v>
      </c>
      <c r="G31">
        <v>11</v>
      </c>
      <c r="H31">
        <v>11</v>
      </c>
      <c r="I31">
        <v>11</v>
      </c>
      <c r="J31">
        <v>11</v>
      </c>
      <c r="K31">
        <v>11</v>
      </c>
      <c r="L31">
        <v>11</v>
      </c>
      <c r="M31">
        <v>11</v>
      </c>
      <c r="N31">
        <v>11</v>
      </c>
      <c r="O31">
        <v>11</v>
      </c>
      <c r="P31">
        <v>11</v>
      </c>
      <c r="Q31">
        <v>28</v>
      </c>
      <c r="R31">
        <v>11</v>
      </c>
      <c r="S31">
        <v>11</v>
      </c>
      <c r="T31">
        <v>11</v>
      </c>
      <c r="U31">
        <v>11</v>
      </c>
      <c r="V31">
        <v>11</v>
      </c>
      <c r="W31">
        <v>11</v>
      </c>
      <c r="X31">
        <v>11</v>
      </c>
      <c r="Y31">
        <v>11</v>
      </c>
      <c r="Z31">
        <v>11</v>
      </c>
      <c r="AA31">
        <v>11</v>
      </c>
      <c r="AB31">
        <v>11</v>
      </c>
    </row>
    <row r="32" spans="1:237" x14ac:dyDescent="0.25">
      <c r="A32" t="s">
        <v>80</v>
      </c>
      <c r="B32" t="s">
        <v>79</v>
      </c>
      <c r="C32" s="48" t="s">
        <v>78</v>
      </c>
      <c r="D32" s="48" t="s">
        <v>77</v>
      </c>
    </row>
    <row r="33" spans="1:4" x14ac:dyDescent="0.25">
      <c r="A33" t="s">
        <v>76</v>
      </c>
      <c r="B33">
        <v>2</v>
      </c>
      <c r="C33">
        <v>25</v>
      </c>
      <c r="D33">
        <v>0</v>
      </c>
    </row>
    <row r="34" spans="1:4" x14ac:dyDescent="0.25">
      <c r="A34" t="s">
        <v>75</v>
      </c>
      <c r="B34">
        <v>7.41</v>
      </c>
      <c r="C34">
        <v>92.59</v>
      </c>
      <c r="D3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88EC-EDC3-432E-A8CE-5C2773FE8E35}">
  <dimension ref="A1:D29"/>
  <sheetViews>
    <sheetView zoomScale="85" zoomScaleNormal="85" workbookViewId="0">
      <selection activeCell="L37" sqref="L37"/>
    </sheetView>
  </sheetViews>
  <sheetFormatPr defaultRowHeight="15" x14ac:dyDescent="0.25"/>
  <cols>
    <col min="1" max="1" width="26.42578125" bestFit="1" customWidth="1"/>
    <col min="2" max="2" width="20.140625" bestFit="1" customWidth="1"/>
  </cols>
  <sheetData>
    <row r="1" spans="1:4" x14ac:dyDescent="0.25">
      <c r="A1" t="s">
        <v>1</v>
      </c>
      <c r="B1" t="s">
        <v>51</v>
      </c>
    </row>
    <row r="2" spans="1:4" x14ac:dyDescent="0.25">
      <c r="A2" t="s">
        <v>0</v>
      </c>
      <c r="B2" t="s">
        <v>30</v>
      </c>
    </row>
    <row r="3" spans="1:4" x14ac:dyDescent="0.25">
      <c r="A3" t="s">
        <v>85</v>
      </c>
      <c r="B3" t="s">
        <v>24</v>
      </c>
      <c r="C3" t="s">
        <v>25</v>
      </c>
      <c r="D3" t="s">
        <v>26</v>
      </c>
    </row>
    <row r="4" spans="1:4" x14ac:dyDescent="0.25">
      <c r="A4" t="s">
        <v>84</v>
      </c>
      <c r="B4">
        <v>27</v>
      </c>
      <c r="C4">
        <v>0</v>
      </c>
      <c r="D4">
        <v>0</v>
      </c>
    </row>
    <row r="5" spans="1:4" x14ac:dyDescent="0.25">
      <c r="A5" t="s">
        <v>83</v>
      </c>
      <c r="B5">
        <v>100</v>
      </c>
      <c r="C5">
        <v>0</v>
      </c>
      <c r="D5">
        <v>0</v>
      </c>
    </row>
    <row r="7" spans="1:4" x14ac:dyDescent="0.25">
      <c r="A7" t="s">
        <v>1</v>
      </c>
      <c r="B7" t="s">
        <v>51</v>
      </c>
    </row>
    <row r="8" spans="1:4" x14ac:dyDescent="0.25">
      <c r="A8" t="s">
        <v>0</v>
      </c>
      <c r="B8" t="s">
        <v>52</v>
      </c>
    </row>
    <row r="9" spans="1:4" x14ac:dyDescent="0.25">
      <c r="A9" t="s">
        <v>85</v>
      </c>
      <c r="B9" t="s">
        <v>24</v>
      </c>
      <c r="C9" t="s">
        <v>25</v>
      </c>
      <c r="D9" t="s">
        <v>26</v>
      </c>
    </row>
    <row r="10" spans="1:4" x14ac:dyDescent="0.25">
      <c r="A10" t="s">
        <v>84</v>
      </c>
      <c r="B10">
        <v>735</v>
      </c>
      <c r="C10">
        <v>236</v>
      </c>
      <c r="D10">
        <v>0</v>
      </c>
    </row>
    <row r="11" spans="1:4" x14ac:dyDescent="0.25">
      <c r="A11" t="s">
        <v>83</v>
      </c>
      <c r="B11">
        <v>75.7</v>
      </c>
      <c r="C11">
        <v>24.3</v>
      </c>
      <c r="D11">
        <v>0</v>
      </c>
    </row>
    <row r="13" spans="1:4" x14ac:dyDescent="0.25">
      <c r="A13" t="s">
        <v>1</v>
      </c>
      <c r="B13" t="s">
        <v>51</v>
      </c>
    </row>
    <row r="14" spans="1:4" x14ac:dyDescent="0.25">
      <c r="A14" t="s">
        <v>0</v>
      </c>
      <c r="B14" t="s">
        <v>53</v>
      </c>
    </row>
    <row r="15" spans="1:4" x14ac:dyDescent="0.25">
      <c r="A15" t="s">
        <v>85</v>
      </c>
      <c r="B15" t="s">
        <v>24</v>
      </c>
      <c r="C15" t="s">
        <v>25</v>
      </c>
      <c r="D15" t="s">
        <v>26</v>
      </c>
    </row>
    <row r="16" spans="1:4" x14ac:dyDescent="0.25">
      <c r="A16" t="s">
        <v>84</v>
      </c>
      <c r="B16">
        <v>60</v>
      </c>
      <c r="C16">
        <v>0</v>
      </c>
      <c r="D16">
        <v>176</v>
      </c>
    </row>
    <row r="17" spans="1:4" x14ac:dyDescent="0.25">
      <c r="A17" t="s">
        <v>83</v>
      </c>
      <c r="B17">
        <v>25.42</v>
      </c>
      <c r="C17">
        <v>0</v>
      </c>
      <c r="D17">
        <v>74.58</v>
      </c>
    </row>
    <row r="19" spans="1:4" x14ac:dyDescent="0.25">
      <c r="A19" t="s">
        <v>1</v>
      </c>
      <c r="B19" t="s">
        <v>51</v>
      </c>
    </row>
    <row r="20" spans="1:4" x14ac:dyDescent="0.25">
      <c r="A20" t="s">
        <v>0</v>
      </c>
      <c r="B20" t="s">
        <v>55</v>
      </c>
    </row>
    <row r="21" spans="1:4" x14ac:dyDescent="0.25">
      <c r="A21" t="s">
        <v>85</v>
      </c>
      <c r="B21" t="s">
        <v>24</v>
      </c>
      <c r="C21" t="s">
        <v>25</v>
      </c>
      <c r="D21" t="s">
        <v>26</v>
      </c>
    </row>
    <row r="22" spans="1:4" x14ac:dyDescent="0.25">
      <c r="A22" t="s">
        <v>84</v>
      </c>
      <c r="B22">
        <v>27</v>
      </c>
      <c r="C22">
        <v>0</v>
      </c>
      <c r="D22">
        <v>0</v>
      </c>
    </row>
    <row r="23" spans="1:4" x14ac:dyDescent="0.25">
      <c r="A23" t="s">
        <v>83</v>
      </c>
      <c r="B23">
        <v>100</v>
      </c>
      <c r="C23">
        <v>0</v>
      </c>
      <c r="D23">
        <v>0</v>
      </c>
    </row>
    <row r="25" spans="1:4" x14ac:dyDescent="0.25">
      <c r="A25" t="s">
        <v>1</v>
      </c>
      <c r="B25" t="s">
        <v>51</v>
      </c>
    </row>
    <row r="26" spans="1:4" x14ac:dyDescent="0.25">
      <c r="A26" t="s">
        <v>0</v>
      </c>
      <c r="B26" t="s">
        <v>54</v>
      </c>
    </row>
    <row r="27" spans="1:4" x14ac:dyDescent="0.25">
      <c r="A27" t="s">
        <v>85</v>
      </c>
      <c r="B27" t="s">
        <v>24</v>
      </c>
      <c r="C27" t="s">
        <v>25</v>
      </c>
      <c r="D27" t="s">
        <v>26</v>
      </c>
    </row>
    <row r="28" spans="1:4" x14ac:dyDescent="0.25">
      <c r="A28" t="s">
        <v>84</v>
      </c>
      <c r="B28">
        <v>27</v>
      </c>
      <c r="C28">
        <v>0</v>
      </c>
      <c r="D28">
        <v>0</v>
      </c>
    </row>
    <row r="29" spans="1:4" x14ac:dyDescent="0.25">
      <c r="A29" t="s">
        <v>83</v>
      </c>
      <c r="B29">
        <v>100</v>
      </c>
      <c r="C29">
        <v>0</v>
      </c>
      <c r="D2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91BA-79F2-4C8B-8107-3452736FC771}">
  <dimension ref="A1:E49"/>
  <sheetViews>
    <sheetView zoomScale="55" zoomScaleNormal="55" workbookViewId="0">
      <selection activeCell="P50" sqref="P50"/>
    </sheetView>
  </sheetViews>
  <sheetFormatPr defaultRowHeight="15" x14ac:dyDescent="0.25"/>
  <cols>
    <col min="1" max="1" width="36.140625" bestFit="1" customWidth="1"/>
    <col min="2" max="2" width="20.140625" bestFit="1" customWidth="1"/>
    <col min="3" max="3" width="10" bestFit="1" customWidth="1"/>
    <col min="4" max="4" width="6" bestFit="1" customWidth="1"/>
    <col min="5" max="5" width="5.5703125" bestFit="1" customWidth="1"/>
  </cols>
  <sheetData>
    <row r="1" spans="1:5" x14ac:dyDescent="0.25">
      <c r="A1" t="s">
        <v>1</v>
      </c>
      <c r="B1" t="s">
        <v>51</v>
      </c>
    </row>
    <row r="2" spans="1:5" x14ac:dyDescent="0.25">
      <c r="A2" t="s">
        <v>0</v>
      </c>
      <c r="B2" t="s">
        <v>30</v>
      </c>
    </row>
    <row r="3" spans="1:5" x14ac:dyDescent="0.25">
      <c r="A3" t="s">
        <v>91</v>
      </c>
      <c r="B3">
        <v>2</v>
      </c>
    </row>
    <row r="4" spans="1:5" x14ac:dyDescent="0.25">
      <c r="A4" t="s">
        <v>9</v>
      </c>
      <c r="B4">
        <v>27</v>
      </c>
    </row>
    <row r="5" spans="1:5" x14ac:dyDescent="0.25">
      <c r="A5" t="s">
        <v>90</v>
      </c>
      <c r="B5">
        <v>7.41</v>
      </c>
    </row>
    <row r="6" spans="1:5" x14ac:dyDescent="0.25">
      <c r="A6" t="s">
        <v>89</v>
      </c>
      <c r="B6" t="s">
        <v>27</v>
      </c>
      <c r="C6" t="s">
        <v>28</v>
      </c>
      <c r="D6" t="s">
        <v>29</v>
      </c>
      <c r="E6" t="s">
        <v>26</v>
      </c>
    </row>
    <row r="7" spans="1:5" x14ac:dyDescent="0.25">
      <c r="A7" t="s">
        <v>88</v>
      </c>
      <c r="B7">
        <v>0</v>
      </c>
      <c r="C7">
        <v>1</v>
      </c>
      <c r="D7">
        <v>0</v>
      </c>
      <c r="E7">
        <v>1</v>
      </c>
    </row>
    <row r="8" spans="1:5" x14ac:dyDescent="0.25">
      <c r="A8" t="s">
        <v>87</v>
      </c>
      <c r="B8">
        <v>0</v>
      </c>
      <c r="C8">
        <v>50</v>
      </c>
      <c r="D8">
        <v>0</v>
      </c>
      <c r="E8">
        <v>50</v>
      </c>
    </row>
    <row r="9" spans="1:5" x14ac:dyDescent="0.25">
      <c r="A9" t="s">
        <v>86</v>
      </c>
      <c r="B9">
        <v>0</v>
      </c>
      <c r="C9">
        <v>3.7</v>
      </c>
      <c r="D9">
        <v>0</v>
      </c>
      <c r="E9">
        <v>3.7</v>
      </c>
    </row>
    <row r="11" spans="1:5" x14ac:dyDescent="0.25">
      <c r="A11" t="s">
        <v>1</v>
      </c>
      <c r="B11" t="s">
        <v>51</v>
      </c>
    </row>
    <row r="12" spans="1:5" x14ac:dyDescent="0.25">
      <c r="A12" t="s">
        <v>0</v>
      </c>
      <c r="B12" t="s">
        <v>52</v>
      </c>
    </row>
    <row r="13" spans="1:5" x14ac:dyDescent="0.25">
      <c r="A13" t="s">
        <v>91</v>
      </c>
      <c r="B13">
        <v>244</v>
      </c>
    </row>
    <row r="14" spans="1:5" x14ac:dyDescent="0.25">
      <c r="A14" t="s">
        <v>9</v>
      </c>
      <c r="B14">
        <v>971</v>
      </c>
    </row>
    <row r="15" spans="1:5" x14ac:dyDescent="0.25">
      <c r="A15" t="s">
        <v>90</v>
      </c>
      <c r="B15">
        <v>25.13</v>
      </c>
    </row>
    <row r="16" spans="1:5" x14ac:dyDescent="0.25">
      <c r="A16" t="s">
        <v>89</v>
      </c>
      <c r="B16" t="s">
        <v>27</v>
      </c>
      <c r="C16" t="s">
        <v>28</v>
      </c>
      <c r="D16" t="s">
        <v>29</v>
      </c>
      <c r="E16" t="s">
        <v>26</v>
      </c>
    </row>
    <row r="17" spans="1:5" x14ac:dyDescent="0.25">
      <c r="A17" t="s">
        <v>88</v>
      </c>
      <c r="B17">
        <v>112</v>
      </c>
      <c r="C17">
        <v>102</v>
      </c>
      <c r="D17">
        <v>28</v>
      </c>
      <c r="E17">
        <v>2</v>
      </c>
    </row>
    <row r="18" spans="1:5" x14ac:dyDescent="0.25">
      <c r="A18" t="s">
        <v>87</v>
      </c>
      <c r="B18">
        <v>45.9</v>
      </c>
      <c r="C18">
        <v>41.8</v>
      </c>
      <c r="D18">
        <v>11.48</v>
      </c>
      <c r="E18">
        <v>0.82</v>
      </c>
    </row>
    <row r="19" spans="1:5" x14ac:dyDescent="0.25">
      <c r="A19" t="s">
        <v>86</v>
      </c>
      <c r="B19">
        <v>11.53</v>
      </c>
      <c r="C19">
        <v>10.5</v>
      </c>
      <c r="D19">
        <v>2.88</v>
      </c>
      <c r="E19">
        <v>0.21</v>
      </c>
    </row>
    <row r="21" spans="1:5" x14ac:dyDescent="0.25">
      <c r="A21" t="s">
        <v>1</v>
      </c>
      <c r="B21" t="s">
        <v>51</v>
      </c>
    </row>
    <row r="22" spans="1:5" x14ac:dyDescent="0.25">
      <c r="A22" t="s">
        <v>0</v>
      </c>
      <c r="B22" t="s">
        <v>53</v>
      </c>
    </row>
    <row r="23" spans="1:5" x14ac:dyDescent="0.25">
      <c r="A23" t="s">
        <v>91</v>
      </c>
      <c r="B23">
        <v>178</v>
      </c>
    </row>
    <row r="24" spans="1:5" x14ac:dyDescent="0.25">
      <c r="A24" t="s">
        <v>9</v>
      </c>
      <c r="B24">
        <v>236</v>
      </c>
    </row>
    <row r="25" spans="1:5" x14ac:dyDescent="0.25">
      <c r="A25" t="s">
        <v>90</v>
      </c>
      <c r="B25">
        <v>75.42</v>
      </c>
    </row>
    <row r="26" spans="1:5" x14ac:dyDescent="0.25">
      <c r="A26" t="s">
        <v>89</v>
      </c>
      <c r="B26" t="s">
        <v>27</v>
      </c>
      <c r="C26" t="s">
        <v>28</v>
      </c>
      <c r="D26" t="s">
        <v>29</v>
      </c>
      <c r="E26" t="s">
        <v>26</v>
      </c>
    </row>
    <row r="27" spans="1:5" x14ac:dyDescent="0.25">
      <c r="A27" t="s">
        <v>88</v>
      </c>
      <c r="B27">
        <v>1</v>
      </c>
      <c r="C27">
        <v>170</v>
      </c>
      <c r="D27">
        <v>0</v>
      </c>
      <c r="E27">
        <v>7</v>
      </c>
    </row>
    <row r="28" spans="1:5" x14ac:dyDescent="0.25">
      <c r="A28" t="s">
        <v>87</v>
      </c>
      <c r="B28">
        <v>0.56000000000000005</v>
      </c>
      <c r="C28">
        <v>95.51</v>
      </c>
      <c r="D28">
        <v>0</v>
      </c>
      <c r="E28">
        <v>3.93</v>
      </c>
    </row>
    <row r="29" spans="1:5" x14ac:dyDescent="0.25">
      <c r="A29" t="s">
        <v>86</v>
      </c>
      <c r="B29">
        <v>0.42</v>
      </c>
      <c r="C29">
        <v>72.03</v>
      </c>
      <c r="D29">
        <v>0</v>
      </c>
      <c r="E29">
        <v>2.97</v>
      </c>
    </row>
    <row r="31" spans="1:5" x14ac:dyDescent="0.25">
      <c r="A31" t="s">
        <v>1</v>
      </c>
      <c r="B31" t="s">
        <v>51</v>
      </c>
    </row>
    <row r="32" spans="1:5" x14ac:dyDescent="0.25">
      <c r="A32" t="s">
        <v>0</v>
      </c>
      <c r="B32" t="s">
        <v>55</v>
      </c>
    </row>
    <row r="33" spans="1:5" x14ac:dyDescent="0.25">
      <c r="A33" t="s">
        <v>91</v>
      </c>
      <c r="B33">
        <v>2</v>
      </c>
    </row>
    <row r="34" spans="1:5" x14ac:dyDescent="0.25">
      <c r="A34" t="s">
        <v>9</v>
      </c>
      <c r="B34">
        <v>27</v>
      </c>
    </row>
    <row r="35" spans="1:5" x14ac:dyDescent="0.25">
      <c r="A35" t="s">
        <v>90</v>
      </c>
      <c r="B35">
        <v>7.41</v>
      </c>
    </row>
    <row r="36" spans="1:5" x14ac:dyDescent="0.25">
      <c r="A36" t="s">
        <v>89</v>
      </c>
      <c r="B36" t="s">
        <v>27</v>
      </c>
      <c r="C36" t="s">
        <v>28</v>
      </c>
      <c r="D36" t="s">
        <v>29</v>
      </c>
      <c r="E36" t="s">
        <v>26</v>
      </c>
    </row>
    <row r="37" spans="1:5" x14ac:dyDescent="0.25">
      <c r="A37" t="s">
        <v>88</v>
      </c>
      <c r="B37">
        <v>0</v>
      </c>
      <c r="C37">
        <v>1</v>
      </c>
      <c r="D37">
        <v>0</v>
      </c>
      <c r="E37">
        <v>1</v>
      </c>
    </row>
    <row r="38" spans="1:5" x14ac:dyDescent="0.25">
      <c r="A38" t="s">
        <v>87</v>
      </c>
      <c r="B38">
        <v>0</v>
      </c>
      <c r="C38">
        <v>50</v>
      </c>
      <c r="D38">
        <v>0</v>
      </c>
      <c r="E38">
        <v>50</v>
      </c>
    </row>
    <row r="39" spans="1:5" x14ac:dyDescent="0.25">
      <c r="A39" t="s">
        <v>86</v>
      </c>
      <c r="B39">
        <v>0</v>
      </c>
      <c r="C39">
        <v>3.7</v>
      </c>
      <c r="D39">
        <v>0</v>
      </c>
      <c r="E39">
        <v>3.7</v>
      </c>
    </row>
    <row r="41" spans="1:5" x14ac:dyDescent="0.25">
      <c r="A41" t="s">
        <v>1</v>
      </c>
      <c r="B41" t="s">
        <v>51</v>
      </c>
    </row>
    <row r="42" spans="1:5" x14ac:dyDescent="0.25">
      <c r="A42" t="s">
        <v>0</v>
      </c>
      <c r="B42" t="s">
        <v>54</v>
      </c>
    </row>
    <row r="43" spans="1:5" x14ac:dyDescent="0.25">
      <c r="A43" t="s">
        <v>91</v>
      </c>
      <c r="B43">
        <v>2</v>
      </c>
    </row>
    <row r="44" spans="1:5" x14ac:dyDescent="0.25">
      <c r="A44" t="s">
        <v>9</v>
      </c>
      <c r="B44">
        <v>27</v>
      </c>
    </row>
    <row r="45" spans="1:5" x14ac:dyDescent="0.25">
      <c r="A45" t="s">
        <v>90</v>
      </c>
      <c r="B45">
        <v>7.41</v>
      </c>
    </row>
    <row r="46" spans="1:5" x14ac:dyDescent="0.25">
      <c r="A46" t="s">
        <v>89</v>
      </c>
      <c r="B46" t="s">
        <v>27</v>
      </c>
      <c r="C46" t="s">
        <v>28</v>
      </c>
      <c r="D46" t="s">
        <v>29</v>
      </c>
      <c r="E46" t="s">
        <v>26</v>
      </c>
    </row>
    <row r="47" spans="1:5" x14ac:dyDescent="0.25">
      <c r="A47" t="s">
        <v>88</v>
      </c>
      <c r="B47">
        <v>0</v>
      </c>
      <c r="C47">
        <v>1</v>
      </c>
      <c r="D47">
        <v>0</v>
      </c>
      <c r="E47">
        <v>1</v>
      </c>
    </row>
    <row r="48" spans="1:5" x14ac:dyDescent="0.25">
      <c r="A48" t="s">
        <v>87</v>
      </c>
      <c r="B48">
        <v>0</v>
      </c>
      <c r="C48">
        <v>50</v>
      </c>
      <c r="D48">
        <v>0</v>
      </c>
      <c r="E48">
        <v>50</v>
      </c>
    </row>
    <row r="49" spans="1:5" x14ac:dyDescent="0.25">
      <c r="A49" t="s">
        <v>86</v>
      </c>
      <c r="B49">
        <v>0</v>
      </c>
      <c r="C49">
        <v>3.7</v>
      </c>
      <c r="D49">
        <v>0</v>
      </c>
      <c r="E49">
        <v>3.7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49D6-0407-4AB8-85CE-8FF76C3C2527}">
  <dimension ref="A1:R34"/>
  <sheetViews>
    <sheetView zoomScale="40" zoomScaleNormal="40" workbookViewId="0">
      <selection activeCell="AD63" sqref="AD63"/>
    </sheetView>
  </sheetViews>
  <sheetFormatPr defaultRowHeight="15" x14ac:dyDescent="0.25"/>
  <cols>
    <col min="1" max="1" width="31.42578125" bestFit="1" customWidth="1"/>
    <col min="2" max="2" width="20.140625" bestFit="1" customWidth="1"/>
  </cols>
  <sheetData>
    <row r="1" spans="1:18" x14ac:dyDescent="0.25">
      <c r="A1" t="s">
        <v>1</v>
      </c>
      <c r="B1" t="s">
        <v>51</v>
      </c>
    </row>
    <row r="2" spans="1:18" x14ac:dyDescent="0.25">
      <c r="A2" t="s">
        <v>0</v>
      </c>
      <c r="B2" t="s">
        <v>30</v>
      </c>
    </row>
    <row r="3" spans="1:18" x14ac:dyDescent="0.25">
      <c r="A3" t="s">
        <v>13</v>
      </c>
      <c r="B3">
        <v>1346</v>
      </c>
    </row>
    <row r="4" spans="1:18" x14ac:dyDescent="0.25">
      <c r="A4" t="s">
        <v>14</v>
      </c>
      <c r="B4">
        <v>1331</v>
      </c>
    </row>
    <row r="5" spans="1:18" x14ac:dyDescent="0.25">
      <c r="A5" t="s">
        <v>15</v>
      </c>
      <c r="B5">
        <v>98.89</v>
      </c>
    </row>
    <row r="6" spans="1:18" x14ac:dyDescent="0.25">
      <c r="A6" t="s">
        <v>93</v>
      </c>
      <c r="B6">
        <v>2</v>
      </c>
      <c r="C6">
        <v>110</v>
      </c>
      <c r="D6">
        <v>307</v>
      </c>
      <c r="E6">
        <v>180</v>
      </c>
      <c r="F6">
        <v>0</v>
      </c>
      <c r="G6">
        <v>0</v>
      </c>
      <c r="H6">
        <v>125</v>
      </c>
      <c r="I6">
        <v>42</v>
      </c>
      <c r="J6">
        <v>97</v>
      </c>
      <c r="K6">
        <v>44</v>
      </c>
      <c r="L6">
        <v>16</v>
      </c>
      <c r="M6">
        <v>48</v>
      </c>
      <c r="N6">
        <v>53</v>
      </c>
      <c r="O6">
        <v>90</v>
      </c>
      <c r="P6">
        <v>59</v>
      </c>
      <c r="Q6">
        <v>51</v>
      </c>
      <c r="R6">
        <v>107</v>
      </c>
    </row>
    <row r="8" spans="1:18" x14ac:dyDescent="0.25">
      <c r="A8" t="s">
        <v>1</v>
      </c>
      <c r="B8" t="s">
        <v>51</v>
      </c>
    </row>
    <row r="9" spans="1:18" x14ac:dyDescent="0.25">
      <c r="A9" t="s">
        <v>0</v>
      </c>
      <c r="B9" t="s">
        <v>52</v>
      </c>
    </row>
    <row r="10" spans="1:18" x14ac:dyDescent="0.25">
      <c r="A10" t="s">
        <v>13</v>
      </c>
      <c r="B10">
        <v>1582</v>
      </c>
    </row>
    <row r="11" spans="1:18" x14ac:dyDescent="0.25">
      <c r="A11" t="s">
        <v>14</v>
      </c>
      <c r="B11">
        <v>1567</v>
      </c>
    </row>
    <row r="12" spans="1:18" x14ac:dyDescent="0.25">
      <c r="A12" t="s">
        <v>15</v>
      </c>
      <c r="B12">
        <v>99.05</v>
      </c>
    </row>
    <row r="13" spans="1:18" x14ac:dyDescent="0.25">
      <c r="A13" t="s">
        <v>93</v>
      </c>
      <c r="B13">
        <v>2</v>
      </c>
      <c r="C13">
        <v>110</v>
      </c>
      <c r="D13">
        <v>307</v>
      </c>
      <c r="E13">
        <v>180</v>
      </c>
      <c r="F13">
        <v>0</v>
      </c>
      <c r="G13">
        <v>0</v>
      </c>
      <c r="H13">
        <v>125</v>
      </c>
      <c r="I13">
        <v>42</v>
      </c>
      <c r="J13">
        <v>97</v>
      </c>
      <c r="K13">
        <v>44</v>
      </c>
      <c r="L13">
        <v>16</v>
      </c>
      <c r="M13">
        <v>96</v>
      </c>
      <c r="N13">
        <v>106</v>
      </c>
      <c r="O13">
        <v>180</v>
      </c>
      <c r="P13">
        <v>104</v>
      </c>
      <c r="Q13">
        <v>51</v>
      </c>
      <c r="R13">
        <v>107</v>
      </c>
    </row>
    <row r="15" spans="1:18" x14ac:dyDescent="0.25">
      <c r="A15" t="s">
        <v>1</v>
      </c>
      <c r="B15" t="s">
        <v>51</v>
      </c>
    </row>
    <row r="16" spans="1:18" x14ac:dyDescent="0.25">
      <c r="A16" t="s">
        <v>0</v>
      </c>
      <c r="B16" t="s">
        <v>53</v>
      </c>
    </row>
    <row r="17" spans="1:18" x14ac:dyDescent="0.25">
      <c r="A17" t="s">
        <v>13</v>
      </c>
      <c r="B17">
        <v>1346</v>
      </c>
    </row>
    <row r="18" spans="1:18" x14ac:dyDescent="0.25">
      <c r="A18" t="s">
        <v>14</v>
      </c>
      <c r="B18">
        <v>1331</v>
      </c>
    </row>
    <row r="19" spans="1:18" x14ac:dyDescent="0.25">
      <c r="A19" t="s">
        <v>15</v>
      </c>
      <c r="B19">
        <v>98.89</v>
      </c>
    </row>
    <row r="20" spans="1:18" x14ac:dyDescent="0.25">
      <c r="A20" t="s">
        <v>93</v>
      </c>
      <c r="B20">
        <v>2</v>
      </c>
      <c r="C20">
        <v>110</v>
      </c>
      <c r="D20">
        <v>307</v>
      </c>
      <c r="E20">
        <v>180</v>
      </c>
      <c r="F20">
        <v>0</v>
      </c>
      <c r="G20">
        <v>0</v>
      </c>
      <c r="H20">
        <v>125</v>
      </c>
      <c r="I20">
        <v>42</v>
      </c>
      <c r="J20">
        <v>97</v>
      </c>
      <c r="K20">
        <v>44</v>
      </c>
      <c r="L20">
        <v>16</v>
      </c>
      <c r="M20">
        <v>48</v>
      </c>
      <c r="N20">
        <v>53</v>
      </c>
      <c r="O20">
        <v>90</v>
      </c>
      <c r="P20">
        <v>59</v>
      </c>
      <c r="Q20">
        <v>51</v>
      </c>
      <c r="R20">
        <v>107</v>
      </c>
    </row>
    <row r="22" spans="1:18" x14ac:dyDescent="0.25">
      <c r="A22" t="s">
        <v>1</v>
      </c>
      <c r="B22" t="s">
        <v>51</v>
      </c>
    </row>
    <row r="23" spans="1:18" x14ac:dyDescent="0.25">
      <c r="A23" t="s">
        <v>0</v>
      </c>
      <c r="B23" t="s">
        <v>55</v>
      </c>
    </row>
    <row r="24" spans="1:18" x14ac:dyDescent="0.25">
      <c r="A24" t="s">
        <v>13</v>
      </c>
      <c r="B24">
        <v>1335</v>
      </c>
    </row>
    <row r="25" spans="1:18" x14ac:dyDescent="0.25">
      <c r="A25" t="s">
        <v>14</v>
      </c>
      <c r="B25">
        <v>1478</v>
      </c>
    </row>
    <row r="26" spans="1:18" x14ac:dyDescent="0.25">
      <c r="A26" t="s">
        <v>15</v>
      </c>
      <c r="B26">
        <v>110.71</v>
      </c>
    </row>
    <row r="27" spans="1:18" x14ac:dyDescent="0.25">
      <c r="A27" t="s">
        <v>93</v>
      </c>
      <c r="B27">
        <v>2</v>
      </c>
      <c r="C27">
        <v>110</v>
      </c>
      <c r="D27">
        <v>307</v>
      </c>
      <c r="E27">
        <v>180</v>
      </c>
      <c r="F27">
        <v>0</v>
      </c>
      <c r="G27">
        <v>0</v>
      </c>
      <c r="H27">
        <v>125</v>
      </c>
      <c r="I27">
        <v>42</v>
      </c>
      <c r="J27">
        <v>97</v>
      </c>
      <c r="K27">
        <v>44</v>
      </c>
      <c r="L27">
        <v>16</v>
      </c>
      <c r="M27">
        <v>48</v>
      </c>
      <c r="N27">
        <v>95</v>
      </c>
      <c r="O27">
        <v>169</v>
      </c>
      <c r="P27">
        <v>85</v>
      </c>
      <c r="Q27">
        <v>51</v>
      </c>
      <c r="R27">
        <v>107</v>
      </c>
    </row>
    <row r="29" spans="1:18" x14ac:dyDescent="0.25">
      <c r="A29" t="s">
        <v>1</v>
      </c>
      <c r="B29" t="s">
        <v>51</v>
      </c>
    </row>
    <row r="30" spans="1:18" x14ac:dyDescent="0.25">
      <c r="A30" t="s">
        <v>0</v>
      </c>
      <c r="B30" t="s">
        <v>54</v>
      </c>
    </row>
    <row r="31" spans="1:18" x14ac:dyDescent="0.25">
      <c r="A31" t="s">
        <v>13</v>
      </c>
      <c r="B31">
        <v>1346</v>
      </c>
    </row>
    <row r="32" spans="1:18" x14ac:dyDescent="0.25">
      <c r="A32" t="s">
        <v>14</v>
      </c>
      <c r="B32">
        <v>1331</v>
      </c>
    </row>
    <row r="33" spans="1:18" x14ac:dyDescent="0.25">
      <c r="A33" t="s">
        <v>15</v>
      </c>
      <c r="B33">
        <v>98.89</v>
      </c>
    </row>
    <row r="34" spans="1:18" x14ac:dyDescent="0.25">
      <c r="A34" t="s">
        <v>93</v>
      </c>
      <c r="B34">
        <v>2</v>
      </c>
      <c r="C34">
        <v>110</v>
      </c>
      <c r="D34">
        <v>307</v>
      </c>
      <c r="E34">
        <v>180</v>
      </c>
      <c r="F34">
        <v>0</v>
      </c>
      <c r="G34">
        <v>0</v>
      </c>
      <c r="H34">
        <v>125</v>
      </c>
      <c r="I34">
        <v>42</v>
      </c>
      <c r="J34">
        <v>97</v>
      </c>
      <c r="K34">
        <v>44</v>
      </c>
      <c r="L34">
        <v>16</v>
      </c>
      <c r="M34">
        <v>48</v>
      </c>
      <c r="N34">
        <v>53</v>
      </c>
      <c r="O34">
        <v>90</v>
      </c>
      <c r="P34">
        <v>59</v>
      </c>
      <c r="Q34">
        <v>51</v>
      </c>
      <c r="R34">
        <v>107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FFB5-E180-42F7-B84A-8F3D3D4B084D}">
  <dimension ref="A1:R34"/>
  <sheetViews>
    <sheetView zoomScale="40" zoomScaleNormal="40" workbookViewId="0">
      <selection activeCell="AC67" sqref="AC67"/>
    </sheetView>
  </sheetViews>
  <sheetFormatPr defaultRowHeight="15" x14ac:dyDescent="0.25"/>
  <cols>
    <col min="1" max="1" width="34.28515625" bestFit="1" customWidth="1"/>
    <col min="2" max="2" width="20.140625" bestFit="1" customWidth="1"/>
  </cols>
  <sheetData>
    <row r="1" spans="1:18" x14ac:dyDescent="0.25">
      <c r="A1" t="s">
        <v>1</v>
      </c>
      <c r="B1" t="s">
        <v>51</v>
      </c>
    </row>
    <row r="2" spans="1:18" x14ac:dyDescent="0.25">
      <c r="A2" t="s">
        <v>0</v>
      </c>
      <c r="B2" t="s">
        <v>30</v>
      </c>
    </row>
    <row r="3" spans="1:18" x14ac:dyDescent="0.25">
      <c r="A3" t="s">
        <v>16</v>
      </c>
      <c r="B3">
        <v>7875</v>
      </c>
    </row>
    <row r="4" spans="1:18" x14ac:dyDescent="0.25">
      <c r="A4" t="s">
        <v>17</v>
      </c>
      <c r="B4">
        <v>0</v>
      </c>
    </row>
    <row r="5" spans="1:18" x14ac:dyDescent="0.25">
      <c r="A5" t="s">
        <v>18</v>
      </c>
      <c r="B5">
        <v>0</v>
      </c>
    </row>
    <row r="6" spans="1:18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8" spans="1:18" x14ac:dyDescent="0.25">
      <c r="A8" t="s">
        <v>1</v>
      </c>
      <c r="B8" t="s">
        <v>51</v>
      </c>
    </row>
    <row r="9" spans="1:18" x14ac:dyDescent="0.25">
      <c r="A9" t="s">
        <v>0</v>
      </c>
      <c r="B9" t="s">
        <v>52</v>
      </c>
    </row>
    <row r="10" spans="1:18" x14ac:dyDescent="0.25">
      <c r="A10" t="s">
        <v>16</v>
      </c>
      <c r="B10">
        <v>8347</v>
      </c>
    </row>
    <row r="11" spans="1:18" x14ac:dyDescent="0.25">
      <c r="A11" t="s">
        <v>17</v>
      </c>
      <c r="B11">
        <v>0</v>
      </c>
    </row>
    <row r="12" spans="1:18" x14ac:dyDescent="0.25">
      <c r="A12" t="s">
        <v>18</v>
      </c>
      <c r="B12">
        <v>0</v>
      </c>
    </row>
    <row r="13" spans="1:18" x14ac:dyDescent="0.25">
      <c r="A13" t="s">
        <v>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5" spans="1:18" x14ac:dyDescent="0.25">
      <c r="A15" t="s">
        <v>1</v>
      </c>
      <c r="B15" t="s">
        <v>51</v>
      </c>
    </row>
    <row r="16" spans="1:18" x14ac:dyDescent="0.25">
      <c r="A16" t="s">
        <v>0</v>
      </c>
      <c r="B16" t="s">
        <v>53</v>
      </c>
    </row>
    <row r="17" spans="1:18" x14ac:dyDescent="0.25">
      <c r="A17" t="s">
        <v>16</v>
      </c>
      <c r="B17">
        <v>7875</v>
      </c>
    </row>
    <row r="18" spans="1:18" x14ac:dyDescent="0.25">
      <c r="A18" t="s">
        <v>17</v>
      </c>
      <c r="B18">
        <v>0</v>
      </c>
    </row>
    <row r="19" spans="1:18" x14ac:dyDescent="0.25">
      <c r="A19" t="s">
        <v>18</v>
      </c>
      <c r="B19">
        <v>0</v>
      </c>
    </row>
    <row r="20" spans="1:18" x14ac:dyDescent="0.25">
      <c r="A20" t="s">
        <v>92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2" spans="1:18" x14ac:dyDescent="0.25">
      <c r="A22" t="s">
        <v>1</v>
      </c>
      <c r="B22" t="s">
        <v>51</v>
      </c>
    </row>
    <row r="23" spans="1:18" x14ac:dyDescent="0.25">
      <c r="A23" t="s">
        <v>0</v>
      </c>
      <c r="B23" t="s">
        <v>55</v>
      </c>
    </row>
    <row r="24" spans="1:18" x14ac:dyDescent="0.25">
      <c r="A24" t="s">
        <v>16</v>
      </c>
      <c r="B24">
        <v>8219</v>
      </c>
    </row>
    <row r="25" spans="1:18" x14ac:dyDescent="0.25">
      <c r="A25" t="s">
        <v>17</v>
      </c>
      <c r="B25">
        <v>516</v>
      </c>
    </row>
    <row r="26" spans="1:18" x14ac:dyDescent="0.25">
      <c r="A26" t="s">
        <v>18</v>
      </c>
      <c r="B26">
        <v>6.28</v>
      </c>
    </row>
    <row r="27" spans="1:18" x14ac:dyDescent="0.25">
      <c r="A27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159</v>
      </c>
      <c r="O27">
        <v>270</v>
      </c>
      <c r="P27">
        <v>87</v>
      </c>
      <c r="Q27">
        <v>0</v>
      </c>
      <c r="R27">
        <v>0</v>
      </c>
    </row>
    <row r="29" spans="1:18" x14ac:dyDescent="0.25">
      <c r="A29" t="s">
        <v>1</v>
      </c>
      <c r="B29" t="s">
        <v>51</v>
      </c>
    </row>
    <row r="30" spans="1:18" x14ac:dyDescent="0.25">
      <c r="A30" t="s">
        <v>0</v>
      </c>
      <c r="B30" t="s">
        <v>54</v>
      </c>
    </row>
    <row r="31" spans="1:18" x14ac:dyDescent="0.25">
      <c r="A31" t="s">
        <v>16</v>
      </c>
      <c r="B31">
        <v>7875</v>
      </c>
    </row>
    <row r="32" spans="1:18" x14ac:dyDescent="0.25">
      <c r="A32" t="s">
        <v>17</v>
      </c>
      <c r="B32">
        <v>661</v>
      </c>
    </row>
    <row r="33" spans="1:18" x14ac:dyDescent="0.25">
      <c r="A33" t="s">
        <v>18</v>
      </c>
      <c r="B33">
        <v>8.39</v>
      </c>
    </row>
    <row r="34" spans="1:18" x14ac:dyDescent="0.25">
      <c r="A34" t="s">
        <v>92</v>
      </c>
      <c r="B34">
        <v>0</v>
      </c>
      <c r="C34">
        <v>0</v>
      </c>
      <c r="D34">
        <v>0</v>
      </c>
      <c r="E34">
        <v>411</v>
      </c>
      <c r="F34">
        <v>0</v>
      </c>
      <c r="G34">
        <v>2</v>
      </c>
      <c r="H34">
        <v>248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4EA4-7EEA-404C-B315-A484C32489A3}">
  <dimension ref="A1:AV93"/>
  <sheetViews>
    <sheetView topLeftCell="T1" zoomScale="40" zoomScaleNormal="40" workbookViewId="0">
      <selection activeCell="AY71" sqref="AY71"/>
    </sheetView>
  </sheetViews>
  <sheetFormatPr defaultRowHeight="15" x14ac:dyDescent="0.25"/>
  <cols>
    <col min="1" max="1" width="25.85546875" bestFit="1" customWidth="1"/>
    <col min="2" max="2" width="23.5703125" bestFit="1" customWidth="1"/>
    <col min="3" max="3" width="19.140625" bestFit="1" customWidth="1"/>
    <col min="4" max="4" width="53" bestFit="1" customWidth="1"/>
    <col min="5" max="5" width="25.85546875" bestFit="1" customWidth="1"/>
    <col min="6" max="6" width="27.7109375" bestFit="1" customWidth="1"/>
    <col min="7" max="7" width="34.85546875" bestFit="1" customWidth="1"/>
    <col min="8" max="8" width="26.28515625" bestFit="1" customWidth="1"/>
    <col min="9" max="9" width="29.28515625" customWidth="1"/>
    <col min="10" max="10" width="43.140625" customWidth="1"/>
    <col min="11" max="11" width="29.28515625" bestFit="1" customWidth="1"/>
    <col min="12" max="21" width="9.7109375" customWidth="1"/>
    <col min="22" max="27" width="12.7109375" customWidth="1"/>
    <col min="28" max="28" width="51.7109375" bestFit="1" customWidth="1"/>
    <col min="29" max="29" width="27.85546875" bestFit="1" customWidth="1"/>
    <col min="30" max="30" width="66" bestFit="1" customWidth="1"/>
    <col min="31" max="42" width="12.7109375" customWidth="1"/>
    <col min="43" max="43" width="19.28515625" bestFit="1" customWidth="1"/>
    <col min="44" max="44" width="26" bestFit="1" customWidth="1"/>
    <col min="45" max="45" width="34" bestFit="1" customWidth="1"/>
    <col min="46" max="46" width="18.85546875" bestFit="1" customWidth="1"/>
    <col min="47" max="47" width="31.5703125" bestFit="1" customWidth="1"/>
    <col min="48" max="48" width="43.42578125" bestFit="1" customWidth="1"/>
  </cols>
  <sheetData>
    <row r="1" spans="1:48" ht="16.5" thickBot="1" x14ac:dyDescent="0.3">
      <c r="A1" s="77" t="s">
        <v>0</v>
      </c>
      <c r="B1" s="77" t="s">
        <v>65</v>
      </c>
      <c r="C1" s="77" t="s">
        <v>56</v>
      </c>
      <c r="D1" s="67" t="s">
        <v>1</v>
      </c>
      <c r="E1" s="69" t="s">
        <v>70</v>
      </c>
      <c r="F1" s="70"/>
      <c r="G1" s="68"/>
      <c r="H1" s="56" t="s">
        <v>57</v>
      </c>
      <c r="I1" s="57"/>
      <c r="J1" s="57"/>
      <c r="K1" s="59"/>
      <c r="L1" s="56" t="s">
        <v>58</v>
      </c>
      <c r="M1" s="57"/>
      <c r="N1" s="57"/>
      <c r="O1" s="57"/>
      <c r="P1" s="57"/>
      <c r="Q1" s="57"/>
      <c r="R1" s="57"/>
      <c r="S1" s="57"/>
      <c r="T1" s="57"/>
      <c r="U1" s="59"/>
      <c r="V1" s="56" t="s">
        <v>59</v>
      </c>
      <c r="W1" s="57"/>
      <c r="X1" s="57"/>
      <c r="Y1" s="57"/>
      <c r="Z1" s="57"/>
      <c r="AA1" s="59"/>
      <c r="AB1" s="56" t="s">
        <v>64</v>
      </c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9"/>
      <c r="AQ1" s="56" t="s">
        <v>60</v>
      </c>
      <c r="AR1" s="57"/>
      <c r="AS1" s="59"/>
      <c r="AT1" s="56" t="s">
        <v>61</v>
      </c>
      <c r="AU1" s="57"/>
      <c r="AV1" s="58"/>
    </row>
    <row r="2" spans="1:48" ht="15.75" x14ac:dyDescent="0.25">
      <c r="A2" s="77"/>
      <c r="B2" s="77"/>
      <c r="C2" s="77"/>
      <c r="D2" s="67"/>
      <c r="E2" s="52" t="s">
        <v>66</v>
      </c>
      <c r="F2" s="72" t="s">
        <v>67</v>
      </c>
      <c r="G2" s="52" t="s">
        <v>68</v>
      </c>
      <c r="H2" s="73" t="s">
        <v>2</v>
      </c>
      <c r="I2" s="62" t="s">
        <v>3</v>
      </c>
      <c r="J2" s="62" t="s">
        <v>69</v>
      </c>
      <c r="K2" s="60" t="s">
        <v>4</v>
      </c>
      <c r="L2" s="51" t="s">
        <v>5</v>
      </c>
      <c r="M2" s="52"/>
      <c r="N2" s="52"/>
      <c r="O2" s="52"/>
      <c r="P2" s="53"/>
      <c r="Q2" s="54" t="s">
        <v>6</v>
      </c>
      <c r="R2" s="52"/>
      <c r="S2" s="52"/>
      <c r="T2" s="52"/>
      <c r="U2" s="55"/>
      <c r="V2" s="51" t="s">
        <v>7</v>
      </c>
      <c r="W2" s="52"/>
      <c r="X2" s="53"/>
      <c r="Y2" s="54" t="s">
        <v>8</v>
      </c>
      <c r="Z2" s="52"/>
      <c r="AA2" s="55"/>
      <c r="AB2" s="73" t="s">
        <v>63</v>
      </c>
      <c r="AC2" s="62" t="s">
        <v>9</v>
      </c>
      <c r="AD2" s="49" t="s">
        <v>62</v>
      </c>
      <c r="AE2" s="52" t="s">
        <v>10</v>
      </c>
      <c r="AF2" s="52"/>
      <c r="AG2" s="52"/>
      <c r="AH2" s="53"/>
      <c r="AI2" s="54" t="s">
        <v>11</v>
      </c>
      <c r="AJ2" s="52"/>
      <c r="AK2" s="52"/>
      <c r="AL2" s="53"/>
      <c r="AM2" s="54" t="s">
        <v>12</v>
      </c>
      <c r="AN2" s="52"/>
      <c r="AO2" s="52"/>
      <c r="AP2" s="55"/>
      <c r="AQ2" s="73" t="s">
        <v>13</v>
      </c>
      <c r="AR2" s="62" t="s">
        <v>14</v>
      </c>
      <c r="AS2" s="60" t="s">
        <v>15</v>
      </c>
      <c r="AT2" s="73" t="s">
        <v>16</v>
      </c>
      <c r="AU2" s="62" t="s">
        <v>17</v>
      </c>
      <c r="AV2" s="49" t="s">
        <v>18</v>
      </c>
    </row>
    <row r="3" spans="1:48" ht="16.5" thickBot="1" x14ac:dyDescent="0.3">
      <c r="A3" s="70"/>
      <c r="B3" s="70"/>
      <c r="C3" s="78"/>
      <c r="D3" s="68"/>
      <c r="E3" s="71"/>
      <c r="F3" s="70"/>
      <c r="G3" s="71"/>
      <c r="H3" s="74"/>
      <c r="I3" s="63"/>
      <c r="J3" s="63"/>
      <c r="K3" s="61"/>
      <c r="L3" s="2" t="s">
        <v>19</v>
      </c>
      <c r="M3" s="3" t="s">
        <v>20</v>
      </c>
      <c r="N3" s="3" t="s">
        <v>21</v>
      </c>
      <c r="O3" s="3" t="s">
        <v>22</v>
      </c>
      <c r="P3" s="5" t="s">
        <v>23</v>
      </c>
      <c r="Q3" s="2" t="s">
        <v>19</v>
      </c>
      <c r="R3" s="3" t="s">
        <v>20</v>
      </c>
      <c r="S3" s="3" t="s">
        <v>21</v>
      </c>
      <c r="T3" s="3" t="s">
        <v>22</v>
      </c>
      <c r="U3" s="4" t="s">
        <v>23</v>
      </c>
      <c r="V3" s="2" t="s">
        <v>24</v>
      </c>
      <c r="W3" s="3" t="s">
        <v>25</v>
      </c>
      <c r="X3" s="5" t="s">
        <v>26</v>
      </c>
      <c r="Y3" s="2" t="s">
        <v>24</v>
      </c>
      <c r="Z3" s="3" t="s">
        <v>25</v>
      </c>
      <c r="AA3" s="4" t="s">
        <v>26</v>
      </c>
      <c r="AB3" s="74"/>
      <c r="AC3" s="63"/>
      <c r="AD3" s="50"/>
      <c r="AE3" s="2" t="s">
        <v>27</v>
      </c>
      <c r="AF3" s="3" t="s">
        <v>28</v>
      </c>
      <c r="AG3" s="3" t="s">
        <v>29</v>
      </c>
      <c r="AH3" s="5" t="s">
        <v>26</v>
      </c>
      <c r="AI3" s="2" t="s">
        <v>27</v>
      </c>
      <c r="AJ3" s="3" t="s">
        <v>28</v>
      </c>
      <c r="AK3" s="3" t="s">
        <v>29</v>
      </c>
      <c r="AL3" s="5" t="s">
        <v>26</v>
      </c>
      <c r="AM3" s="2" t="s">
        <v>27</v>
      </c>
      <c r="AN3" s="3" t="s">
        <v>28</v>
      </c>
      <c r="AO3" s="3" t="s">
        <v>29</v>
      </c>
      <c r="AP3" s="4" t="s">
        <v>26</v>
      </c>
      <c r="AQ3" s="74"/>
      <c r="AR3" s="63"/>
      <c r="AS3" s="61"/>
      <c r="AT3" s="74"/>
      <c r="AU3" s="63"/>
      <c r="AV3" s="50"/>
    </row>
    <row r="4" spans="1:48" ht="15.75" x14ac:dyDescent="0.25">
      <c r="A4" s="75" t="s">
        <v>30</v>
      </c>
      <c r="B4" s="64">
        <v>21</v>
      </c>
      <c r="C4" s="7">
        <v>1</v>
      </c>
      <c r="D4" s="8" t="s">
        <v>31</v>
      </c>
      <c r="E4" s="9">
        <v>516887</v>
      </c>
      <c r="F4" s="10">
        <v>504.77</v>
      </c>
      <c r="G4" s="11">
        <f>ROUND( F4 / _xlfn.XLOOKUP(D4, $D$4:$D$24, $F$4:$F$24) * 100, 2 )</f>
        <v>100</v>
      </c>
      <c r="H4" s="9">
        <v>82</v>
      </c>
      <c r="I4" s="10">
        <v>267</v>
      </c>
      <c r="J4" s="12">
        <f>ROUND( I4 / _xlfn.XLOOKUP(D4, $D$4:$D$24, $I$4:$I$24) * 100, 2 )</f>
        <v>100</v>
      </c>
      <c r="K4" s="11">
        <v>219</v>
      </c>
      <c r="L4" s="9">
        <v>0</v>
      </c>
      <c r="M4" s="10">
        <v>18</v>
      </c>
      <c r="N4" s="10">
        <v>232</v>
      </c>
      <c r="O4" s="10">
        <v>17</v>
      </c>
      <c r="P4" s="13">
        <v>0</v>
      </c>
      <c r="Q4" s="9">
        <v>0</v>
      </c>
      <c r="R4" s="10">
        <v>6.74</v>
      </c>
      <c r="S4" s="10">
        <v>86.89</v>
      </c>
      <c r="T4" s="10">
        <v>6.37</v>
      </c>
      <c r="U4" s="11">
        <v>0</v>
      </c>
      <c r="V4" s="9">
        <v>238</v>
      </c>
      <c r="W4" s="10">
        <v>0</v>
      </c>
      <c r="X4" s="13">
        <v>29</v>
      </c>
      <c r="Y4" s="9">
        <v>89.14</v>
      </c>
      <c r="Z4" s="10">
        <v>0</v>
      </c>
      <c r="AA4" s="11">
        <v>10.86</v>
      </c>
      <c r="AB4" s="9">
        <v>50</v>
      </c>
      <c r="AC4" s="10">
        <v>267</v>
      </c>
      <c r="AD4" s="41">
        <v>18.73</v>
      </c>
      <c r="AE4" s="9">
        <v>0</v>
      </c>
      <c r="AF4" s="10">
        <v>0</v>
      </c>
      <c r="AG4" s="10">
        <v>0</v>
      </c>
      <c r="AH4" s="13">
        <v>50</v>
      </c>
      <c r="AI4" s="9">
        <v>0</v>
      </c>
      <c r="AJ4" s="10">
        <v>0</v>
      </c>
      <c r="AK4" s="10">
        <v>0</v>
      </c>
      <c r="AL4" s="13">
        <v>100</v>
      </c>
      <c r="AM4" s="9">
        <v>0</v>
      </c>
      <c r="AN4" s="10">
        <v>0</v>
      </c>
      <c r="AO4" s="10">
        <v>0</v>
      </c>
      <c r="AP4" s="11">
        <v>18.73</v>
      </c>
      <c r="AQ4" s="9">
        <v>2058</v>
      </c>
      <c r="AR4" s="10">
        <v>2023</v>
      </c>
      <c r="AS4" s="11">
        <v>98.3</v>
      </c>
      <c r="AT4" s="9">
        <v>13494</v>
      </c>
      <c r="AU4" s="10">
        <v>11</v>
      </c>
      <c r="AV4" s="13">
        <v>0.08</v>
      </c>
    </row>
    <row r="5" spans="1:48" ht="15.75" x14ac:dyDescent="0.25">
      <c r="A5" s="75"/>
      <c r="B5" s="64"/>
      <c r="C5" s="14">
        <v>2</v>
      </c>
      <c r="D5" s="15" t="s">
        <v>32</v>
      </c>
      <c r="E5" s="16">
        <v>37705</v>
      </c>
      <c r="F5" s="14">
        <v>36.82</v>
      </c>
      <c r="G5" s="11">
        <f t="shared" ref="G5:G24" si="0">ROUND( F5 / _xlfn.XLOOKUP(D5, $D$4:$D$24, $F$4:$F$24) * 100, 2 )</f>
        <v>100</v>
      </c>
      <c r="H5" s="16">
        <v>9</v>
      </c>
      <c r="I5" s="17">
        <v>11</v>
      </c>
      <c r="J5" s="14">
        <f t="shared" ref="J5:J24" si="1">ROUND( I5 / _xlfn.XLOOKUP(D5, $D$4:$D$24, $I$4:$I$24) * 100, 2 )</f>
        <v>100</v>
      </c>
      <c r="K5" s="18">
        <v>11</v>
      </c>
      <c r="L5" s="16">
        <v>0</v>
      </c>
      <c r="M5" s="14">
        <v>1</v>
      </c>
      <c r="N5" s="14">
        <v>0</v>
      </c>
      <c r="O5" s="14">
        <v>10</v>
      </c>
      <c r="P5" s="19">
        <v>0</v>
      </c>
      <c r="Q5" s="16">
        <v>0</v>
      </c>
      <c r="R5" s="14">
        <v>9.09</v>
      </c>
      <c r="S5" s="14">
        <v>0</v>
      </c>
      <c r="T5" s="14">
        <v>90.91</v>
      </c>
      <c r="U5" s="15">
        <v>0</v>
      </c>
      <c r="V5" s="16">
        <v>11</v>
      </c>
      <c r="W5" s="14">
        <v>0</v>
      </c>
      <c r="X5" s="19">
        <v>0</v>
      </c>
      <c r="Y5" s="16">
        <v>100</v>
      </c>
      <c r="Z5" s="14">
        <v>0</v>
      </c>
      <c r="AA5" s="15">
        <v>0</v>
      </c>
      <c r="AB5" s="16">
        <v>0</v>
      </c>
      <c r="AC5" s="14">
        <v>11</v>
      </c>
      <c r="AD5" s="19">
        <v>0</v>
      </c>
      <c r="AE5" s="16">
        <v>0</v>
      </c>
      <c r="AF5" s="14">
        <v>0</v>
      </c>
      <c r="AG5" s="14">
        <v>0</v>
      </c>
      <c r="AH5" s="19">
        <v>0</v>
      </c>
      <c r="AI5" s="16">
        <v>0</v>
      </c>
      <c r="AJ5" s="14">
        <v>0</v>
      </c>
      <c r="AK5" s="14">
        <v>0</v>
      </c>
      <c r="AL5" s="19">
        <v>0</v>
      </c>
      <c r="AM5" s="16">
        <v>0</v>
      </c>
      <c r="AN5" s="14">
        <v>0</v>
      </c>
      <c r="AO5" s="14">
        <v>0</v>
      </c>
      <c r="AP5" s="15">
        <v>0</v>
      </c>
      <c r="AQ5" s="16">
        <v>133</v>
      </c>
      <c r="AR5" s="14">
        <v>133</v>
      </c>
      <c r="AS5" s="15">
        <v>100</v>
      </c>
      <c r="AT5" s="16">
        <v>832</v>
      </c>
      <c r="AU5" s="14">
        <v>0</v>
      </c>
      <c r="AV5" s="19">
        <v>0</v>
      </c>
    </row>
    <row r="6" spans="1:48" ht="15.75" x14ac:dyDescent="0.25">
      <c r="A6" s="75"/>
      <c r="B6" s="64"/>
      <c r="C6" s="14">
        <v>3</v>
      </c>
      <c r="D6" s="15" t="s">
        <v>33</v>
      </c>
      <c r="E6" s="16">
        <v>44797</v>
      </c>
      <c r="F6" s="14">
        <v>43.75</v>
      </c>
      <c r="G6" s="11">
        <f t="shared" si="0"/>
        <v>100</v>
      </c>
      <c r="H6" s="16">
        <v>49</v>
      </c>
      <c r="I6" s="17">
        <v>198</v>
      </c>
      <c r="J6" s="14">
        <f t="shared" si="1"/>
        <v>100</v>
      </c>
      <c r="K6" s="18">
        <v>132</v>
      </c>
      <c r="L6" s="16">
        <v>0</v>
      </c>
      <c r="M6" s="14">
        <v>0</v>
      </c>
      <c r="N6" s="14">
        <v>66</v>
      </c>
      <c r="O6" s="14">
        <v>132</v>
      </c>
      <c r="P6" s="19">
        <v>0</v>
      </c>
      <c r="Q6" s="16">
        <v>0</v>
      </c>
      <c r="R6" s="14">
        <v>0</v>
      </c>
      <c r="S6" s="14">
        <v>33.33</v>
      </c>
      <c r="T6" s="14">
        <v>66.67</v>
      </c>
      <c r="U6" s="15">
        <v>0</v>
      </c>
      <c r="V6" s="16">
        <v>198</v>
      </c>
      <c r="W6" s="14">
        <v>0</v>
      </c>
      <c r="X6" s="19">
        <v>0</v>
      </c>
      <c r="Y6" s="16">
        <v>100</v>
      </c>
      <c r="Z6" s="14">
        <v>0</v>
      </c>
      <c r="AA6" s="15">
        <v>0</v>
      </c>
      <c r="AB6" s="16">
        <v>66</v>
      </c>
      <c r="AC6" s="14">
        <v>198</v>
      </c>
      <c r="AD6" s="19">
        <v>33.33</v>
      </c>
      <c r="AE6" s="16">
        <v>0</v>
      </c>
      <c r="AF6" s="14">
        <v>0</v>
      </c>
      <c r="AG6" s="14">
        <v>0</v>
      </c>
      <c r="AH6" s="19">
        <v>66</v>
      </c>
      <c r="AI6" s="16">
        <v>0</v>
      </c>
      <c r="AJ6" s="14">
        <v>0</v>
      </c>
      <c r="AK6" s="14">
        <v>0</v>
      </c>
      <c r="AL6" s="19">
        <v>100</v>
      </c>
      <c r="AM6" s="16">
        <v>0</v>
      </c>
      <c r="AN6" s="14">
        <v>0</v>
      </c>
      <c r="AO6" s="14">
        <v>0</v>
      </c>
      <c r="AP6" s="15">
        <v>33.33</v>
      </c>
      <c r="AQ6" s="16">
        <v>746</v>
      </c>
      <c r="AR6" s="14">
        <v>831</v>
      </c>
      <c r="AS6" s="15">
        <v>111.39</v>
      </c>
      <c r="AT6" s="16">
        <v>5090</v>
      </c>
      <c r="AU6" s="14">
        <v>15</v>
      </c>
      <c r="AV6" s="19">
        <v>0.28999999999999998</v>
      </c>
    </row>
    <row r="7" spans="1:48" ht="15.75" x14ac:dyDescent="0.25">
      <c r="A7" s="75"/>
      <c r="B7" s="64"/>
      <c r="C7" s="14">
        <v>4</v>
      </c>
      <c r="D7" s="15" t="s">
        <v>34</v>
      </c>
      <c r="E7" s="16">
        <v>2623406</v>
      </c>
      <c r="F7" s="14">
        <v>2561.92</v>
      </c>
      <c r="G7" s="11">
        <f t="shared" si="0"/>
        <v>100</v>
      </c>
      <c r="H7" s="16">
        <v>313</v>
      </c>
      <c r="I7" s="17">
        <v>736</v>
      </c>
      <c r="J7" s="14">
        <f t="shared" si="1"/>
        <v>100</v>
      </c>
      <c r="K7" s="18">
        <v>652</v>
      </c>
      <c r="L7" s="16">
        <v>0</v>
      </c>
      <c r="M7" s="14">
        <v>593</v>
      </c>
      <c r="N7" s="14">
        <v>112</v>
      </c>
      <c r="O7" s="14">
        <v>31</v>
      </c>
      <c r="P7" s="19">
        <v>0</v>
      </c>
      <c r="Q7" s="16">
        <v>0</v>
      </c>
      <c r="R7" s="14">
        <v>80.569999999999993</v>
      </c>
      <c r="S7" s="14">
        <v>15.22</v>
      </c>
      <c r="T7" s="14">
        <v>4.21</v>
      </c>
      <c r="U7" s="15">
        <v>0</v>
      </c>
      <c r="V7" s="16">
        <v>736</v>
      </c>
      <c r="W7" s="14">
        <v>0</v>
      </c>
      <c r="X7" s="19">
        <v>0</v>
      </c>
      <c r="Y7" s="16">
        <v>100</v>
      </c>
      <c r="Z7" s="14">
        <v>0</v>
      </c>
      <c r="AA7" s="15">
        <v>0</v>
      </c>
      <c r="AB7" s="16">
        <v>55</v>
      </c>
      <c r="AC7" s="14">
        <v>736</v>
      </c>
      <c r="AD7" s="19">
        <v>7.47</v>
      </c>
      <c r="AE7" s="16">
        <v>1</v>
      </c>
      <c r="AF7" s="14">
        <v>2</v>
      </c>
      <c r="AG7" s="14">
        <v>21</v>
      </c>
      <c r="AH7" s="19">
        <v>31</v>
      </c>
      <c r="AI7" s="16">
        <v>1.82</v>
      </c>
      <c r="AJ7" s="14">
        <v>3.64</v>
      </c>
      <c r="AK7" s="14">
        <v>38.18</v>
      </c>
      <c r="AL7" s="19">
        <v>56.36</v>
      </c>
      <c r="AM7" s="16">
        <v>0.14000000000000001</v>
      </c>
      <c r="AN7" s="14">
        <v>0.27</v>
      </c>
      <c r="AO7" s="14">
        <v>2.85</v>
      </c>
      <c r="AP7" s="15">
        <v>4.21</v>
      </c>
      <c r="AQ7" s="16">
        <v>5532</v>
      </c>
      <c r="AR7" s="14">
        <v>5694</v>
      </c>
      <c r="AS7" s="15">
        <v>102.93</v>
      </c>
      <c r="AT7" s="16">
        <v>36901</v>
      </c>
      <c r="AU7" s="14">
        <v>33</v>
      </c>
      <c r="AV7" s="19">
        <v>0.09</v>
      </c>
    </row>
    <row r="8" spans="1:48" ht="15.75" x14ac:dyDescent="0.25">
      <c r="A8" s="75"/>
      <c r="B8" s="64"/>
      <c r="C8" s="14">
        <v>5</v>
      </c>
      <c r="D8" s="15" t="s">
        <v>35</v>
      </c>
      <c r="E8" s="16">
        <v>39861</v>
      </c>
      <c r="F8" s="14">
        <v>38.93</v>
      </c>
      <c r="G8" s="11">
        <f t="shared" si="0"/>
        <v>100</v>
      </c>
      <c r="H8" s="16">
        <v>33</v>
      </c>
      <c r="I8" s="17">
        <v>80</v>
      </c>
      <c r="J8" s="14">
        <f t="shared" si="1"/>
        <v>100</v>
      </c>
      <c r="K8" s="18">
        <v>64</v>
      </c>
      <c r="L8" s="16">
        <v>0</v>
      </c>
      <c r="M8" s="14">
        <v>64</v>
      </c>
      <c r="N8" s="14">
        <v>16</v>
      </c>
      <c r="O8" s="14">
        <v>0</v>
      </c>
      <c r="P8" s="19">
        <v>0</v>
      </c>
      <c r="Q8" s="16">
        <v>0</v>
      </c>
      <c r="R8" s="14">
        <v>80</v>
      </c>
      <c r="S8" s="14">
        <v>20</v>
      </c>
      <c r="T8" s="14">
        <v>0</v>
      </c>
      <c r="U8" s="15">
        <v>0</v>
      </c>
      <c r="V8" s="16">
        <v>80</v>
      </c>
      <c r="W8" s="14">
        <v>0</v>
      </c>
      <c r="X8" s="19">
        <v>0</v>
      </c>
      <c r="Y8" s="16">
        <v>100</v>
      </c>
      <c r="Z8" s="14">
        <v>0</v>
      </c>
      <c r="AA8" s="15">
        <v>0</v>
      </c>
      <c r="AB8" s="16">
        <v>16</v>
      </c>
      <c r="AC8" s="14">
        <v>80</v>
      </c>
      <c r="AD8" s="19">
        <v>20</v>
      </c>
      <c r="AE8" s="16">
        <v>0</v>
      </c>
      <c r="AF8" s="14">
        <v>0</v>
      </c>
      <c r="AG8" s="14">
        <v>0</v>
      </c>
      <c r="AH8" s="19">
        <v>16</v>
      </c>
      <c r="AI8" s="16">
        <v>0</v>
      </c>
      <c r="AJ8" s="14">
        <v>0</v>
      </c>
      <c r="AK8" s="14">
        <v>0</v>
      </c>
      <c r="AL8" s="19">
        <v>100</v>
      </c>
      <c r="AM8" s="16">
        <v>0</v>
      </c>
      <c r="AN8" s="14">
        <v>0</v>
      </c>
      <c r="AO8" s="14">
        <v>0</v>
      </c>
      <c r="AP8" s="15">
        <v>20</v>
      </c>
      <c r="AQ8" s="16">
        <v>473</v>
      </c>
      <c r="AR8" s="14">
        <v>1543</v>
      </c>
      <c r="AS8" s="15">
        <v>326.22000000000003</v>
      </c>
      <c r="AT8" s="16">
        <v>4016</v>
      </c>
      <c r="AU8" s="14">
        <v>0</v>
      </c>
      <c r="AV8" s="19">
        <v>0</v>
      </c>
    </row>
    <row r="9" spans="1:48" ht="15.75" x14ac:dyDescent="0.25">
      <c r="A9" s="75"/>
      <c r="B9" s="64"/>
      <c r="C9" s="14">
        <v>6</v>
      </c>
      <c r="D9" s="15" t="s">
        <v>36</v>
      </c>
      <c r="E9" s="16">
        <v>39986</v>
      </c>
      <c r="F9" s="14">
        <v>39.049999999999997</v>
      </c>
      <c r="G9" s="11">
        <f t="shared" si="0"/>
        <v>100</v>
      </c>
      <c r="H9" s="16">
        <v>77</v>
      </c>
      <c r="I9" s="17">
        <v>94</v>
      </c>
      <c r="J9" s="14">
        <f t="shared" si="1"/>
        <v>100</v>
      </c>
      <c r="K9" s="18">
        <v>90</v>
      </c>
      <c r="L9" s="16">
        <v>0</v>
      </c>
      <c r="M9" s="14">
        <v>0</v>
      </c>
      <c r="N9" s="14">
        <v>80</v>
      </c>
      <c r="O9" s="14">
        <v>14</v>
      </c>
      <c r="P9" s="19">
        <v>0</v>
      </c>
      <c r="Q9" s="16">
        <v>0</v>
      </c>
      <c r="R9" s="14">
        <v>0</v>
      </c>
      <c r="S9" s="14">
        <v>85.11</v>
      </c>
      <c r="T9" s="14">
        <v>14.89</v>
      </c>
      <c r="U9" s="15">
        <v>0</v>
      </c>
      <c r="V9" s="16">
        <v>94</v>
      </c>
      <c r="W9" s="14">
        <v>0</v>
      </c>
      <c r="X9" s="19">
        <v>0</v>
      </c>
      <c r="Y9" s="16">
        <v>100</v>
      </c>
      <c r="Z9" s="14">
        <v>0</v>
      </c>
      <c r="AA9" s="15">
        <v>0</v>
      </c>
      <c r="AB9" s="16">
        <v>7</v>
      </c>
      <c r="AC9" s="14">
        <v>94</v>
      </c>
      <c r="AD9" s="19">
        <v>7.45</v>
      </c>
      <c r="AE9" s="16">
        <v>0</v>
      </c>
      <c r="AF9" s="14">
        <v>0</v>
      </c>
      <c r="AG9" s="14">
        <v>3</v>
      </c>
      <c r="AH9" s="19">
        <v>4</v>
      </c>
      <c r="AI9" s="16">
        <v>0</v>
      </c>
      <c r="AJ9" s="14">
        <v>0</v>
      </c>
      <c r="AK9" s="14">
        <v>42.86</v>
      </c>
      <c r="AL9" s="19">
        <v>57.14</v>
      </c>
      <c r="AM9" s="16">
        <v>0</v>
      </c>
      <c r="AN9" s="14">
        <v>0</v>
      </c>
      <c r="AO9" s="14">
        <v>3.19</v>
      </c>
      <c r="AP9" s="15">
        <v>4.26</v>
      </c>
      <c r="AQ9" s="16">
        <v>725</v>
      </c>
      <c r="AR9" s="14">
        <v>688</v>
      </c>
      <c r="AS9" s="15">
        <v>94.9</v>
      </c>
      <c r="AT9" s="16">
        <v>4376</v>
      </c>
      <c r="AU9" s="14">
        <v>5</v>
      </c>
      <c r="AV9" s="19">
        <v>0.11</v>
      </c>
    </row>
    <row r="10" spans="1:48" ht="15.75" x14ac:dyDescent="0.25">
      <c r="A10" s="75"/>
      <c r="B10" s="64"/>
      <c r="C10" s="14">
        <v>7</v>
      </c>
      <c r="D10" s="15" t="s">
        <v>37</v>
      </c>
      <c r="E10" s="16">
        <v>42495</v>
      </c>
      <c r="F10" s="14">
        <v>41.5</v>
      </c>
      <c r="G10" s="11">
        <f t="shared" si="0"/>
        <v>100</v>
      </c>
      <c r="H10" s="16">
        <v>55</v>
      </c>
      <c r="I10" s="17">
        <v>175</v>
      </c>
      <c r="J10" s="14">
        <f t="shared" si="1"/>
        <v>100</v>
      </c>
      <c r="K10" s="18">
        <v>163</v>
      </c>
      <c r="L10" s="16">
        <v>0</v>
      </c>
      <c r="M10" s="14">
        <v>152</v>
      </c>
      <c r="N10" s="14">
        <v>21</v>
      </c>
      <c r="O10" s="14">
        <v>2</v>
      </c>
      <c r="P10" s="19">
        <v>0</v>
      </c>
      <c r="Q10" s="16">
        <v>0</v>
      </c>
      <c r="R10" s="14">
        <v>86.86</v>
      </c>
      <c r="S10" s="14">
        <v>12</v>
      </c>
      <c r="T10" s="14">
        <v>1.1399999999999999</v>
      </c>
      <c r="U10" s="15">
        <v>0</v>
      </c>
      <c r="V10" s="16">
        <v>175</v>
      </c>
      <c r="W10" s="14">
        <v>0</v>
      </c>
      <c r="X10" s="19">
        <v>0</v>
      </c>
      <c r="Y10" s="16">
        <v>100</v>
      </c>
      <c r="Z10" s="14">
        <v>0</v>
      </c>
      <c r="AA10" s="15">
        <v>0</v>
      </c>
      <c r="AB10" s="16">
        <v>12</v>
      </c>
      <c r="AC10" s="14">
        <v>175</v>
      </c>
      <c r="AD10" s="19">
        <v>6.86</v>
      </c>
      <c r="AE10" s="16">
        <v>0</v>
      </c>
      <c r="AF10" s="14">
        <v>0</v>
      </c>
      <c r="AG10" s="14">
        <v>0</v>
      </c>
      <c r="AH10" s="19">
        <v>12</v>
      </c>
      <c r="AI10" s="16">
        <v>0</v>
      </c>
      <c r="AJ10" s="14">
        <v>0</v>
      </c>
      <c r="AK10" s="14">
        <v>0</v>
      </c>
      <c r="AL10" s="19">
        <v>100</v>
      </c>
      <c r="AM10" s="16">
        <v>0</v>
      </c>
      <c r="AN10" s="14">
        <v>0</v>
      </c>
      <c r="AO10" s="14">
        <v>0</v>
      </c>
      <c r="AP10" s="15">
        <v>6.86</v>
      </c>
      <c r="AQ10" s="16">
        <v>1617</v>
      </c>
      <c r="AR10" s="14">
        <v>1672</v>
      </c>
      <c r="AS10" s="15">
        <v>103.4</v>
      </c>
      <c r="AT10" s="16">
        <v>9886</v>
      </c>
      <c r="AU10" s="14">
        <v>41</v>
      </c>
      <c r="AV10" s="19">
        <v>0.41</v>
      </c>
    </row>
    <row r="11" spans="1:48" ht="15.75" x14ac:dyDescent="0.25">
      <c r="A11" s="75"/>
      <c r="B11" s="64"/>
      <c r="C11" s="14">
        <v>8</v>
      </c>
      <c r="D11" s="15" t="s">
        <v>38</v>
      </c>
      <c r="E11" s="16">
        <v>169763</v>
      </c>
      <c r="F11" s="14">
        <v>165.78</v>
      </c>
      <c r="G11" s="11">
        <f t="shared" si="0"/>
        <v>100</v>
      </c>
      <c r="H11" s="16">
        <v>37</v>
      </c>
      <c r="I11" s="17">
        <v>164</v>
      </c>
      <c r="J11" s="14">
        <f t="shared" si="1"/>
        <v>100</v>
      </c>
      <c r="K11" s="18">
        <v>113</v>
      </c>
      <c r="L11" s="16">
        <v>3</v>
      </c>
      <c r="M11" s="14">
        <v>19</v>
      </c>
      <c r="N11" s="14">
        <v>142</v>
      </c>
      <c r="O11" s="14">
        <v>0</v>
      </c>
      <c r="P11" s="19">
        <v>0</v>
      </c>
      <c r="Q11" s="16">
        <v>1.83</v>
      </c>
      <c r="R11" s="14">
        <v>11.59</v>
      </c>
      <c r="S11" s="14">
        <v>86.59</v>
      </c>
      <c r="T11" s="14">
        <v>0</v>
      </c>
      <c r="U11" s="15">
        <v>0</v>
      </c>
      <c r="V11" s="16">
        <v>129</v>
      </c>
      <c r="W11" s="14">
        <v>7</v>
      </c>
      <c r="X11" s="19">
        <v>28</v>
      </c>
      <c r="Y11" s="16">
        <v>78.66</v>
      </c>
      <c r="Z11" s="14">
        <v>4.2699999999999996</v>
      </c>
      <c r="AA11" s="15">
        <v>17.07</v>
      </c>
      <c r="AB11" s="16">
        <v>66</v>
      </c>
      <c r="AC11" s="14">
        <v>164</v>
      </c>
      <c r="AD11" s="19">
        <v>40.24</v>
      </c>
      <c r="AE11" s="16">
        <v>0</v>
      </c>
      <c r="AF11" s="14">
        <v>0</v>
      </c>
      <c r="AG11" s="14">
        <v>0</v>
      </c>
      <c r="AH11" s="19">
        <v>66</v>
      </c>
      <c r="AI11" s="16">
        <v>0</v>
      </c>
      <c r="AJ11" s="14">
        <v>0</v>
      </c>
      <c r="AK11" s="14">
        <v>0</v>
      </c>
      <c r="AL11" s="19">
        <v>100</v>
      </c>
      <c r="AM11" s="16">
        <v>0</v>
      </c>
      <c r="AN11" s="14">
        <v>0</v>
      </c>
      <c r="AO11" s="14">
        <v>0</v>
      </c>
      <c r="AP11" s="15">
        <v>40.24</v>
      </c>
      <c r="AQ11" s="16">
        <v>734</v>
      </c>
      <c r="AR11" s="14">
        <v>735</v>
      </c>
      <c r="AS11" s="15">
        <v>100.14</v>
      </c>
      <c r="AT11" s="16">
        <v>4683</v>
      </c>
      <c r="AU11" s="14">
        <v>16</v>
      </c>
      <c r="AV11" s="19">
        <v>0.34</v>
      </c>
    </row>
    <row r="12" spans="1:48" ht="15.75" x14ac:dyDescent="0.25">
      <c r="A12" s="75"/>
      <c r="B12" s="64"/>
      <c r="C12" s="14">
        <v>9</v>
      </c>
      <c r="D12" s="15" t="s">
        <v>39</v>
      </c>
      <c r="E12" s="16">
        <v>10937606</v>
      </c>
      <c r="F12" s="14">
        <v>10681.26</v>
      </c>
      <c r="G12" s="11">
        <f t="shared" si="0"/>
        <v>100</v>
      </c>
      <c r="H12" s="16">
        <v>726</v>
      </c>
      <c r="I12" s="17">
        <v>1903</v>
      </c>
      <c r="J12" s="14">
        <f t="shared" si="1"/>
        <v>100</v>
      </c>
      <c r="K12" s="18">
        <v>1734</v>
      </c>
      <c r="L12" s="16">
        <v>18</v>
      </c>
      <c r="M12" s="14">
        <v>22</v>
      </c>
      <c r="N12" s="14">
        <v>1508</v>
      </c>
      <c r="O12" s="14">
        <v>355</v>
      </c>
      <c r="P12" s="19">
        <v>0</v>
      </c>
      <c r="Q12" s="16">
        <v>0.95</v>
      </c>
      <c r="R12" s="14">
        <v>1.1599999999999999</v>
      </c>
      <c r="S12" s="14">
        <v>79.239999999999995</v>
      </c>
      <c r="T12" s="14">
        <v>18.649999999999999</v>
      </c>
      <c r="U12" s="15">
        <v>0</v>
      </c>
      <c r="V12" s="16">
        <v>1089</v>
      </c>
      <c r="W12" s="14">
        <v>10</v>
      </c>
      <c r="X12" s="19">
        <v>804</v>
      </c>
      <c r="Y12" s="16">
        <v>57.23</v>
      </c>
      <c r="Z12" s="14">
        <v>0.53</v>
      </c>
      <c r="AA12" s="15">
        <v>42.25</v>
      </c>
      <c r="AB12" s="16">
        <v>187</v>
      </c>
      <c r="AC12" s="14">
        <v>1903</v>
      </c>
      <c r="AD12" s="19">
        <v>9.83</v>
      </c>
      <c r="AE12" s="16">
        <v>0</v>
      </c>
      <c r="AF12" s="14">
        <v>0</v>
      </c>
      <c r="AG12" s="14">
        <v>10</v>
      </c>
      <c r="AH12" s="19">
        <v>177</v>
      </c>
      <c r="AI12" s="16">
        <v>0</v>
      </c>
      <c r="AJ12" s="14">
        <v>0</v>
      </c>
      <c r="AK12" s="14">
        <v>5.35</v>
      </c>
      <c r="AL12" s="19">
        <v>94.65</v>
      </c>
      <c r="AM12" s="16">
        <v>0</v>
      </c>
      <c r="AN12" s="14">
        <v>0</v>
      </c>
      <c r="AO12" s="14">
        <v>0.53</v>
      </c>
      <c r="AP12" s="15">
        <v>9.3000000000000007</v>
      </c>
      <c r="AQ12" s="16">
        <v>10762</v>
      </c>
      <c r="AR12" s="14">
        <v>11036</v>
      </c>
      <c r="AS12" s="15">
        <v>102.55</v>
      </c>
      <c r="AT12" s="16">
        <v>73327</v>
      </c>
      <c r="AU12" s="14">
        <v>2492</v>
      </c>
      <c r="AV12" s="19">
        <v>3.4</v>
      </c>
    </row>
    <row r="13" spans="1:48" ht="15.75" x14ac:dyDescent="0.25">
      <c r="A13" s="75"/>
      <c r="B13" s="64"/>
      <c r="C13" s="14">
        <v>10</v>
      </c>
      <c r="D13" s="15" t="s">
        <v>40</v>
      </c>
      <c r="E13" s="16">
        <v>43446</v>
      </c>
      <c r="F13" s="14">
        <v>42.43</v>
      </c>
      <c r="G13" s="11">
        <f t="shared" si="0"/>
        <v>100</v>
      </c>
      <c r="H13" s="16">
        <v>178</v>
      </c>
      <c r="I13" s="17">
        <v>2848</v>
      </c>
      <c r="J13" s="14">
        <f t="shared" si="1"/>
        <v>100</v>
      </c>
      <c r="K13" s="18">
        <v>2848</v>
      </c>
      <c r="L13" s="16">
        <v>0</v>
      </c>
      <c r="M13" s="14">
        <v>0</v>
      </c>
      <c r="N13" s="14">
        <v>2848</v>
      </c>
      <c r="O13" s="14">
        <v>0</v>
      </c>
      <c r="P13" s="19">
        <v>0</v>
      </c>
      <c r="Q13" s="16">
        <v>0</v>
      </c>
      <c r="R13" s="14">
        <v>0</v>
      </c>
      <c r="S13" s="14">
        <v>100</v>
      </c>
      <c r="T13" s="14">
        <v>0</v>
      </c>
      <c r="U13" s="15">
        <v>0</v>
      </c>
      <c r="V13" s="16">
        <v>2848</v>
      </c>
      <c r="W13" s="14">
        <v>0</v>
      </c>
      <c r="X13" s="19">
        <v>0</v>
      </c>
      <c r="Y13" s="16">
        <v>100</v>
      </c>
      <c r="Z13" s="14">
        <v>0</v>
      </c>
      <c r="AA13" s="15">
        <v>0</v>
      </c>
      <c r="AB13" s="16">
        <v>0</v>
      </c>
      <c r="AC13" s="14">
        <v>2848</v>
      </c>
      <c r="AD13" s="19">
        <v>0</v>
      </c>
      <c r="AE13" s="16">
        <v>0</v>
      </c>
      <c r="AF13" s="14">
        <v>0</v>
      </c>
      <c r="AG13" s="14">
        <v>0</v>
      </c>
      <c r="AH13" s="19">
        <v>0</v>
      </c>
      <c r="AI13" s="16">
        <v>0</v>
      </c>
      <c r="AJ13" s="14">
        <v>0</v>
      </c>
      <c r="AK13" s="14">
        <v>0</v>
      </c>
      <c r="AL13" s="19">
        <v>0</v>
      </c>
      <c r="AM13" s="16">
        <v>0</v>
      </c>
      <c r="AN13" s="14">
        <v>0</v>
      </c>
      <c r="AO13" s="14">
        <v>0</v>
      </c>
      <c r="AP13" s="15">
        <v>0</v>
      </c>
      <c r="AQ13" s="16">
        <v>3095</v>
      </c>
      <c r="AR13" s="14">
        <v>3095</v>
      </c>
      <c r="AS13" s="15">
        <v>100</v>
      </c>
      <c r="AT13" s="16">
        <v>15355</v>
      </c>
      <c r="AU13" s="14">
        <v>0</v>
      </c>
      <c r="AV13" s="19">
        <v>0</v>
      </c>
    </row>
    <row r="14" spans="1:48" ht="15.75" x14ac:dyDescent="0.25">
      <c r="A14" s="75"/>
      <c r="B14" s="64"/>
      <c r="C14" s="14">
        <v>11</v>
      </c>
      <c r="D14" s="15" t="s">
        <v>41</v>
      </c>
      <c r="E14" s="16">
        <v>51783</v>
      </c>
      <c r="F14" s="14">
        <v>50.57</v>
      </c>
      <c r="G14" s="11">
        <f t="shared" si="0"/>
        <v>100</v>
      </c>
      <c r="H14" s="16">
        <v>2100</v>
      </c>
      <c r="I14" s="17">
        <v>35700</v>
      </c>
      <c r="J14" s="14">
        <f t="shared" si="1"/>
        <v>100</v>
      </c>
      <c r="K14" s="18">
        <v>35700</v>
      </c>
      <c r="L14" s="16">
        <v>0</v>
      </c>
      <c r="M14" s="14">
        <v>0</v>
      </c>
      <c r="N14" s="14">
        <v>35700</v>
      </c>
      <c r="O14" s="14">
        <v>0</v>
      </c>
      <c r="P14" s="19">
        <v>0</v>
      </c>
      <c r="Q14" s="16">
        <v>0</v>
      </c>
      <c r="R14" s="14">
        <v>0</v>
      </c>
      <c r="S14" s="14">
        <v>100</v>
      </c>
      <c r="T14" s="14">
        <v>0</v>
      </c>
      <c r="U14" s="15">
        <v>0</v>
      </c>
      <c r="V14" s="16">
        <v>35700</v>
      </c>
      <c r="W14" s="14">
        <v>0</v>
      </c>
      <c r="X14" s="19">
        <v>0</v>
      </c>
      <c r="Y14" s="16">
        <v>100</v>
      </c>
      <c r="Z14" s="14">
        <v>0</v>
      </c>
      <c r="AA14" s="15">
        <v>0</v>
      </c>
      <c r="AB14" s="16">
        <v>0</v>
      </c>
      <c r="AC14" s="14">
        <v>35700</v>
      </c>
      <c r="AD14" s="19">
        <v>0</v>
      </c>
      <c r="AE14" s="16">
        <v>0</v>
      </c>
      <c r="AF14" s="14">
        <v>0</v>
      </c>
      <c r="AG14" s="14">
        <v>0</v>
      </c>
      <c r="AH14" s="19">
        <v>0</v>
      </c>
      <c r="AI14" s="16">
        <v>0</v>
      </c>
      <c r="AJ14" s="14">
        <v>0</v>
      </c>
      <c r="AK14" s="14">
        <v>0</v>
      </c>
      <c r="AL14" s="19">
        <v>0</v>
      </c>
      <c r="AM14" s="16">
        <v>0</v>
      </c>
      <c r="AN14" s="14">
        <v>0</v>
      </c>
      <c r="AO14" s="14">
        <v>0</v>
      </c>
      <c r="AP14" s="15">
        <v>0</v>
      </c>
      <c r="AQ14" s="16">
        <v>35951</v>
      </c>
      <c r="AR14" s="14">
        <v>35951</v>
      </c>
      <c r="AS14" s="15">
        <v>100</v>
      </c>
      <c r="AT14" s="16">
        <v>179609</v>
      </c>
      <c r="AU14" s="14">
        <v>0</v>
      </c>
      <c r="AV14" s="19">
        <v>0</v>
      </c>
    </row>
    <row r="15" spans="1:48" ht="15.75" x14ac:dyDescent="0.25">
      <c r="A15" s="75"/>
      <c r="B15" s="64"/>
      <c r="C15" s="14">
        <v>12</v>
      </c>
      <c r="D15" s="15" t="s">
        <v>42</v>
      </c>
      <c r="E15" s="16">
        <v>43840</v>
      </c>
      <c r="F15" s="14">
        <v>42.81</v>
      </c>
      <c r="G15" s="11">
        <f t="shared" si="0"/>
        <v>100</v>
      </c>
      <c r="H15" s="16">
        <v>180</v>
      </c>
      <c r="I15" s="17">
        <v>2880</v>
      </c>
      <c r="J15" s="14">
        <f t="shared" si="1"/>
        <v>100</v>
      </c>
      <c r="K15" s="18">
        <v>2880</v>
      </c>
      <c r="L15" s="16">
        <v>0</v>
      </c>
      <c r="M15" s="14">
        <v>0</v>
      </c>
      <c r="N15" s="14">
        <v>2880</v>
      </c>
      <c r="O15" s="14">
        <v>0</v>
      </c>
      <c r="P15" s="19">
        <v>0</v>
      </c>
      <c r="Q15" s="16">
        <v>0</v>
      </c>
      <c r="R15" s="14">
        <v>0</v>
      </c>
      <c r="S15" s="14">
        <v>100</v>
      </c>
      <c r="T15" s="14">
        <v>0</v>
      </c>
      <c r="U15" s="15">
        <v>0</v>
      </c>
      <c r="V15" s="16">
        <v>2880</v>
      </c>
      <c r="W15" s="14">
        <v>0</v>
      </c>
      <c r="X15" s="19">
        <v>0</v>
      </c>
      <c r="Y15" s="16">
        <v>100</v>
      </c>
      <c r="Z15" s="14">
        <v>0</v>
      </c>
      <c r="AA15" s="15">
        <v>0</v>
      </c>
      <c r="AB15" s="16">
        <v>0</v>
      </c>
      <c r="AC15" s="14">
        <v>2880</v>
      </c>
      <c r="AD15" s="19">
        <v>0</v>
      </c>
      <c r="AE15" s="16">
        <v>0</v>
      </c>
      <c r="AF15" s="14">
        <v>0</v>
      </c>
      <c r="AG15" s="14">
        <v>0</v>
      </c>
      <c r="AH15" s="19">
        <v>0</v>
      </c>
      <c r="AI15" s="16">
        <v>0</v>
      </c>
      <c r="AJ15" s="14">
        <v>0</v>
      </c>
      <c r="AK15" s="14">
        <v>0</v>
      </c>
      <c r="AL15" s="19">
        <v>0</v>
      </c>
      <c r="AM15" s="16">
        <v>0</v>
      </c>
      <c r="AN15" s="14">
        <v>0</v>
      </c>
      <c r="AO15" s="14">
        <v>0</v>
      </c>
      <c r="AP15" s="15">
        <v>0</v>
      </c>
      <c r="AQ15" s="16">
        <v>2946</v>
      </c>
      <c r="AR15" s="14">
        <v>2946</v>
      </c>
      <c r="AS15" s="15">
        <v>100</v>
      </c>
      <c r="AT15" s="16">
        <v>14045</v>
      </c>
      <c r="AU15" s="14">
        <v>0</v>
      </c>
      <c r="AV15" s="19">
        <v>0</v>
      </c>
    </row>
    <row r="16" spans="1:48" ht="15.75" x14ac:dyDescent="0.25">
      <c r="A16" s="75"/>
      <c r="B16" s="64"/>
      <c r="C16" s="14">
        <v>13</v>
      </c>
      <c r="D16" s="15" t="s">
        <v>43</v>
      </c>
      <c r="E16" s="16">
        <v>57724</v>
      </c>
      <c r="F16" s="14">
        <v>56.37</v>
      </c>
      <c r="G16" s="11">
        <f t="shared" si="0"/>
        <v>100</v>
      </c>
      <c r="H16" s="16">
        <v>2992</v>
      </c>
      <c r="I16" s="17">
        <v>56848</v>
      </c>
      <c r="J16" s="14">
        <f t="shared" si="1"/>
        <v>100</v>
      </c>
      <c r="K16" s="18">
        <v>56848</v>
      </c>
      <c r="L16" s="16">
        <v>0</v>
      </c>
      <c r="M16" s="14">
        <v>0</v>
      </c>
      <c r="N16" s="14">
        <v>56848</v>
      </c>
      <c r="O16" s="14">
        <v>0</v>
      </c>
      <c r="P16" s="19">
        <v>0</v>
      </c>
      <c r="Q16" s="16">
        <v>0</v>
      </c>
      <c r="R16" s="14">
        <v>0</v>
      </c>
      <c r="S16" s="14">
        <v>100</v>
      </c>
      <c r="T16" s="14">
        <v>0</v>
      </c>
      <c r="U16" s="15">
        <v>0</v>
      </c>
      <c r="V16" s="16">
        <v>56848</v>
      </c>
      <c r="W16" s="14">
        <v>0</v>
      </c>
      <c r="X16" s="19">
        <v>0</v>
      </c>
      <c r="Y16" s="16">
        <v>100</v>
      </c>
      <c r="Z16" s="14">
        <v>0</v>
      </c>
      <c r="AA16" s="15">
        <v>0</v>
      </c>
      <c r="AB16" s="16">
        <v>0</v>
      </c>
      <c r="AC16" s="14">
        <v>56848</v>
      </c>
      <c r="AD16" s="19">
        <v>0</v>
      </c>
      <c r="AE16" s="16">
        <v>0</v>
      </c>
      <c r="AF16" s="14">
        <v>0</v>
      </c>
      <c r="AG16" s="14">
        <v>0</v>
      </c>
      <c r="AH16" s="19">
        <v>0</v>
      </c>
      <c r="AI16" s="16">
        <v>0</v>
      </c>
      <c r="AJ16" s="14">
        <v>0</v>
      </c>
      <c r="AK16" s="14">
        <v>0</v>
      </c>
      <c r="AL16" s="19">
        <v>0</v>
      </c>
      <c r="AM16" s="16">
        <v>0</v>
      </c>
      <c r="AN16" s="14">
        <v>0</v>
      </c>
      <c r="AO16" s="14">
        <v>0</v>
      </c>
      <c r="AP16" s="15">
        <v>0</v>
      </c>
      <c r="AQ16" s="16">
        <v>57093</v>
      </c>
      <c r="AR16" s="14">
        <v>57093</v>
      </c>
      <c r="AS16" s="15">
        <v>100</v>
      </c>
      <c r="AT16" s="16">
        <v>286345</v>
      </c>
      <c r="AU16" s="14">
        <v>1</v>
      </c>
      <c r="AV16" s="19">
        <v>0</v>
      </c>
    </row>
    <row r="17" spans="1:48" ht="15.75" x14ac:dyDescent="0.25">
      <c r="A17" s="75"/>
      <c r="B17" s="64"/>
      <c r="C17" s="14">
        <v>14</v>
      </c>
      <c r="D17" s="15" t="s">
        <v>44</v>
      </c>
      <c r="E17" s="16">
        <v>38104</v>
      </c>
      <c r="F17" s="14">
        <v>37.21</v>
      </c>
      <c r="G17" s="11">
        <f t="shared" si="0"/>
        <v>100</v>
      </c>
      <c r="H17" s="16">
        <v>5</v>
      </c>
      <c r="I17" s="17">
        <v>9</v>
      </c>
      <c r="J17" s="14">
        <f t="shared" si="1"/>
        <v>100</v>
      </c>
      <c r="K17" s="18">
        <v>9</v>
      </c>
      <c r="L17" s="16">
        <v>0</v>
      </c>
      <c r="M17" s="14">
        <v>3</v>
      </c>
      <c r="N17" s="14">
        <v>0</v>
      </c>
      <c r="O17" s="14">
        <v>6</v>
      </c>
      <c r="P17" s="19">
        <v>0</v>
      </c>
      <c r="Q17" s="16">
        <v>0</v>
      </c>
      <c r="R17" s="14">
        <v>33.33</v>
      </c>
      <c r="S17" s="14">
        <v>0</v>
      </c>
      <c r="T17" s="14">
        <v>66.67</v>
      </c>
      <c r="U17" s="15">
        <v>0</v>
      </c>
      <c r="V17" s="16">
        <v>9</v>
      </c>
      <c r="W17" s="14">
        <v>0</v>
      </c>
      <c r="X17" s="19">
        <v>0</v>
      </c>
      <c r="Y17" s="16">
        <v>100</v>
      </c>
      <c r="Z17" s="14">
        <v>0</v>
      </c>
      <c r="AA17" s="15">
        <v>0</v>
      </c>
      <c r="AB17" s="16">
        <v>0</v>
      </c>
      <c r="AC17" s="14">
        <v>9</v>
      </c>
      <c r="AD17" s="19">
        <v>0</v>
      </c>
      <c r="AE17" s="16">
        <v>0</v>
      </c>
      <c r="AF17" s="14">
        <v>0</v>
      </c>
      <c r="AG17" s="14">
        <v>0</v>
      </c>
      <c r="AH17" s="19">
        <v>0</v>
      </c>
      <c r="AI17" s="16">
        <v>0</v>
      </c>
      <c r="AJ17" s="14">
        <v>0</v>
      </c>
      <c r="AK17" s="14">
        <v>0</v>
      </c>
      <c r="AL17" s="19">
        <v>0</v>
      </c>
      <c r="AM17" s="16">
        <v>0</v>
      </c>
      <c r="AN17" s="14">
        <v>0</v>
      </c>
      <c r="AO17" s="14">
        <v>0</v>
      </c>
      <c r="AP17" s="15">
        <v>0</v>
      </c>
      <c r="AQ17" s="16">
        <v>68</v>
      </c>
      <c r="AR17" s="14">
        <v>70</v>
      </c>
      <c r="AS17" s="15">
        <v>102.94</v>
      </c>
      <c r="AT17" s="16">
        <v>373</v>
      </c>
      <c r="AU17" s="14">
        <v>0</v>
      </c>
      <c r="AV17" s="19">
        <v>0</v>
      </c>
    </row>
    <row r="18" spans="1:48" ht="15.75" x14ac:dyDescent="0.25">
      <c r="A18" s="75"/>
      <c r="B18" s="64"/>
      <c r="C18" s="14">
        <v>15</v>
      </c>
      <c r="D18" s="15" t="s">
        <v>45</v>
      </c>
      <c r="E18" s="16">
        <v>258126</v>
      </c>
      <c r="F18" s="14">
        <v>252.08</v>
      </c>
      <c r="G18" s="11">
        <f t="shared" si="0"/>
        <v>100</v>
      </c>
      <c r="H18" s="16">
        <v>7</v>
      </c>
      <c r="I18" s="17">
        <v>4</v>
      </c>
      <c r="J18" s="14">
        <f t="shared" si="1"/>
        <v>100</v>
      </c>
      <c r="K18" s="18">
        <v>0</v>
      </c>
      <c r="L18" s="16">
        <v>0</v>
      </c>
      <c r="M18" s="14">
        <v>0</v>
      </c>
      <c r="N18" s="14">
        <v>4</v>
      </c>
      <c r="O18" s="14">
        <v>0</v>
      </c>
      <c r="P18" s="19">
        <v>0</v>
      </c>
      <c r="Q18" s="16">
        <v>0</v>
      </c>
      <c r="R18" s="14">
        <v>0</v>
      </c>
      <c r="S18" s="14">
        <v>100</v>
      </c>
      <c r="T18" s="14">
        <v>0</v>
      </c>
      <c r="U18" s="15">
        <v>0</v>
      </c>
      <c r="V18" s="16">
        <v>4</v>
      </c>
      <c r="W18" s="14">
        <v>0</v>
      </c>
      <c r="X18" s="19">
        <v>0</v>
      </c>
      <c r="Y18" s="16">
        <v>100</v>
      </c>
      <c r="Z18" s="14">
        <v>0</v>
      </c>
      <c r="AA18" s="15">
        <v>0</v>
      </c>
      <c r="AB18" s="16">
        <v>0</v>
      </c>
      <c r="AC18" s="14">
        <v>4</v>
      </c>
      <c r="AD18" s="19">
        <v>0</v>
      </c>
      <c r="AE18" s="16">
        <v>0</v>
      </c>
      <c r="AF18" s="14">
        <v>0</v>
      </c>
      <c r="AG18" s="14">
        <v>0</v>
      </c>
      <c r="AH18" s="19">
        <v>0</v>
      </c>
      <c r="AI18" s="16">
        <v>0</v>
      </c>
      <c r="AJ18" s="14">
        <v>0</v>
      </c>
      <c r="AK18" s="14">
        <v>0</v>
      </c>
      <c r="AL18" s="19">
        <v>0</v>
      </c>
      <c r="AM18" s="16">
        <v>0</v>
      </c>
      <c r="AN18" s="14">
        <v>0</v>
      </c>
      <c r="AO18" s="14">
        <v>0</v>
      </c>
      <c r="AP18" s="15">
        <v>0</v>
      </c>
      <c r="AQ18" s="16">
        <v>0</v>
      </c>
      <c r="AR18" s="14">
        <v>0</v>
      </c>
      <c r="AS18" s="15">
        <v>0</v>
      </c>
      <c r="AT18" s="16">
        <v>0</v>
      </c>
      <c r="AU18" s="14">
        <v>0</v>
      </c>
      <c r="AV18" s="19">
        <v>0</v>
      </c>
    </row>
    <row r="19" spans="1:48" ht="15.75" x14ac:dyDescent="0.25">
      <c r="A19" s="75"/>
      <c r="B19" s="64"/>
      <c r="C19" s="14">
        <v>16</v>
      </c>
      <c r="D19" s="15" t="s">
        <v>46</v>
      </c>
      <c r="E19" s="16">
        <v>38527</v>
      </c>
      <c r="F19" s="14">
        <v>37.619999999999997</v>
      </c>
      <c r="G19" s="11">
        <f t="shared" si="0"/>
        <v>100</v>
      </c>
      <c r="H19" s="16">
        <v>16</v>
      </c>
      <c r="I19" s="17">
        <v>112</v>
      </c>
      <c r="J19" s="14">
        <f t="shared" si="1"/>
        <v>100</v>
      </c>
      <c r="K19" s="18">
        <v>140</v>
      </c>
      <c r="L19" s="16">
        <v>0</v>
      </c>
      <c r="M19" s="14">
        <v>0</v>
      </c>
      <c r="N19" s="14">
        <v>112</v>
      </c>
      <c r="O19" s="14">
        <v>0</v>
      </c>
      <c r="P19" s="19">
        <v>0</v>
      </c>
      <c r="Q19" s="16">
        <v>0</v>
      </c>
      <c r="R19" s="14">
        <v>0</v>
      </c>
      <c r="S19" s="14">
        <v>100</v>
      </c>
      <c r="T19" s="14">
        <v>0</v>
      </c>
      <c r="U19" s="15">
        <v>0</v>
      </c>
      <c r="V19" s="16">
        <v>112</v>
      </c>
      <c r="W19" s="14">
        <v>0</v>
      </c>
      <c r="X19" s="19">
        <v>0</v>
      </c>
      <c r="Y19" s="16">
        <v>100</v>
      </c>
      <c r="Z19" s="14">
        <v>0</v>
      </c>
      <c r="AA19" s="15">
        <v>0</v>
      </c>
      <c r="AB19" s="16">
        <v>0</v>
      </c>
      <c r="AC19" s="14">
        <v>112</v>
      </c>
      <c r="AD19" s="19">
        <v>0</v>
      </c>
      <c r="AE19" s="16">
        <v>0</v>
      </c>
      <c r="AF19" s="14">
        <v>0</v>
      </c>
      <c r="AG19" s="14">
        <v>0</v>
      </c>
      <c r="AH19" s="19">
        <v>0</v>
      </c>
      <c r="AI19" s="16">
        <v>0</v>
      </c>
      <c r="AJ19" s="14">
        <v>0</v>
      </c>
      <c r="AK19" s="14">
        <v>0</v>
      </c>
      <c r="AL19" s="19">
        <v>0</v>
      </c>
      <c r="AM19" s="16">
        <v>0</v>
      </c>
      <c r="AN19" s="14">
        <v>0</v>
      </c>
      <c r="AO19" s="14">
        <v>0</v>
      </c>
      <c r="AP19" s="15">
        <v>0</v>
      </c>
      <c r="AQ19" s="16">
        <v>1017</v>
      </c>
      <c r="AR19" s="14">
        <v>1044</v>
      </c>
      <c r="AS19" s="15">
        <v>102.65</v>
      </c>
      <c r="AT19" s="16">
        <v>7239</v>
      </c>
      <c r="AU19" s="14">
        <v>0</v>
      </c>
      <c r="AV19" s="19">
        <v>0</v>
      </c>
    </row>
    <row r="20" spans="1:48" ht="15.75" x14ac:dyDescent="0.25">
      <c r="A20" s="75"/>
      <c r="B20" s="64"/>
      <c r="C20" s="14">
        <v>17</v>
      </c>
      <c r="D20" s="15" t="s">
        <v>47</v>
      </c>
      <c r="E20" s="16">
        <v>43365</v>
      </c>
      <c r="F20" s="14">
        <v>42.35</v>
      </c>
      <c r="G20" s="11">
        <f t="shared" si="0"/>
        <v>100</v>
      </c>
      <c r="H20" s="16">
        <v>113</v>
      </c>
      <c r="I20" s="17">
        <v>213</v>
      </c>
      <c r="J20" s="14">
        <f t="shared" si="1"/>
        <v>100</v>
      </c>
      <c r="K20" s="18">
        <v>176</v>
      </c>
      <c r="L20" s="16">
        <v>0</v>
      </c>
      <c r="M20" s="14">
        <v>4</v>
      </c>
      <c r="N20" s="14">
        <v>39</v>
      </c>
      <c r="O20" s="14">
        <v>170</v>
      </c>
      <c r="P20" s="19">
        <v>0</v>
      </c>
      <c r="Q20" s="16">
        <v>0</v>
      </c>
      <c r="R20" s="14">
        <v>1.88</v>
      </c>
      <c r="S20" s="14">
        <v>18.309999999999999</v>
      </c>
      <c r="T20" s="14">
        <v>79.81</v>
      </c>
      <c r="U20" s="15">
        <v>0</v>
      </c>
      <c r="V20" s="16">
        <v>213</v>
      </c>
      <c r="W20" s="14">
        <v>0</v>
      </c>
      <c r="X20" s="19">
        <v>0</v>
      </c>
      <c r="Y20" s="16">
        <v>100</v>
      </c>
      <c r="Z20" s="14">
        <v>0</v>
      </c>
      <c r="AA20" s="15">
        <v>0</v>
      </c>
      <c r="AB20" s="16">
        <v>39</v>
      </c>
      <c r="AC20" s="14">
        <v>213</v>
      </c>
      <c r="AD20" s="19">
        <v>18.309999999999999</v>
      </c>
      <c r="AE20" s="16">
        <v>0</v>
      </c>
      <c r="AF20" s="14">
        <v>0</v>
      </c>
      <c r="AG20" s="14">
        <v>0</v>
      </c>
      <c r="AH20" s="19">
        <v>39</v>
      </c>
      <c r="AI20" s="16">
        <v>0</v>
      </c>
      <c r="AJ20" s="14">
        <v>0</v>
      </c>
      <c r="AK20" s="14">
        <v>0</v>
      </c>
      <c r="AL20" s="19">
        <v>100</v>
      </c>
      <c r="AM20" s="16">
        <v>0</v>
      </c>
      <c r="AN20" s="14">
        <v>0</v>
      </c>
      <c r="AO20" s="14">
        <v>0</v>
      </c>
      <c r="AP20" s="15">
        <v>18.309999999999999</v>
      </c>
      <c r="AQ20" s="16">
        <v>1079</v>
      </c>
      <c r="AR20" s="14">
        <v>1117</v>
      </c>
      <c r="AS20" s="15">
        <v>103.52</v>
      </c>
      <c r="AT20" s="16">
        <v>6656</v>
      </c>
      <c r="AU20" s="14">
        <v>13</v>
      </c>
      <c r="AV20" s="19">
        <v>0.2</v>
      </c>
    </row>
    <row r="21" spans="1:48" ht="15.75" x14ac:dyDescent="0.25">
      <c r="A21" s="75"/>
      <c r="B21" s="64"/>
      <c r="C21" s="14">
        <v>18</v>
      </c>
      <c r="D21" s="15" t="s">
        <v>48</v>
      </c>
      <c r="E21" s="16">
        <v>313831</v>
      </c>
      <c r="F21" s="14">
        <v>306.48</v>
      </c>
      <c r="G21" s="11">
        <f t="shared" si="0"/>
        <v>100</v>
      </c>
      <c r="H21" s="16">
        <v>24</v>
      </c>
      <c r="I21" s="17">
        <v>24</v>
      </c>
      <c r="J21" s="14">
        <f t="shared" si="1"/>
        <v>100</v>
      </c>
      <c r="K21" s="18">
        <v>0</v>
      </c>
      <c r="L21" s="16">
        <v>0</v>
      </c>
      <c r="M21" s="14">
        <v>0</v>
      </c>
      <c r="N21" s="14">
        <v>24</v>
      </c>
      <c r="O21" s="14">
        <v>0</v>
      </c>
      <c r="P21" s="19">
        <v>0</v>
      </c>
      <c r="Q21" s="16">
        <v>0</v>
      </c>
      <c r="R21" s="14">
        <v>0</v>
      </c>
      <c r="S21" s="14">
        <v>100</v>
      </c>
      <c r="T21" s="14">
        <v>0</v>
      </c>
      <c r="U21" s="15">
        <v>0</v>
      </c>
      <c r="V21" s="16">
        <v>24</v>
      </c>
      <c r="W21" s="14">
        <v>0</v>
      </c>
      <c r="X21" s="19">
        <v>0</v>
      </c>
      <c r="Y21" s="16">
        <v>100</v>
      </c>
      <c r="Z21" s="14">
        <v>0</v>
      </c>
      <c r="AA21" s="15">
        <v>0</v>
      </c>
      <c r="AB21" s="16">
        <v>0</v>
      </c>
      <c r="AC21" s="14">
        <v>24</v>
      </c>
      <c r="AD21" s="19">
        <v>0</v>
      </c>
      <c r="AE21" s="16">
        <v>0</v>
      </c>
      <c r="AF21" s="14">
        <v>0</v>
      </c>
      <c r="AG21" s="14">
        <v>0</v>
      </c>
      <c r="AH21" s="19">
        <v>0</v>
      </c>
      <c r="AI21" s="16">
        <v>0</v>
      </c>
      <c r="AJ21" s="14">
        <v>0</v>
      </c>
      <c r="AK21" s="14">
        <v>0</v>
      </c>
      <c r="AL21" s="19">
        <v>0</v>
      </c>
      <c r="AM21" s="16">
        <v>0</v>
      </c>
      <c r="AN21" s="14">
        <v>0</v>
      </c>
      <c r="AO21" s="14">
        <v>0</v>
      </c>
      <c r="AP21" s="15">
        <v>0</v>
      </c>
      <c r="AQ21" s="16">
        <v>0</v>
      </c>
      <c r="AR21" s="14">
        <v>0</v>
      </c>
      <c r="AS21" s="15">
        <v>0</v>
      </c>
      <c r="AT21" s="16">
        <v>0</v>
      </c>
      <c r="AU21" s="14">
        <v>0</v>
      </c>
      <c r="AV21" s="19">
        <v>0</v>
      </c>
    </row>
    <row r="22" spans="1:48" ht="15.75" x14ac:dyDescent="0.25">
      <c r="A22" s="75"/>
      <c r="B22" s="64"/>
      <c r="C22" s="14">
        <v>19</v>
      </c>
      <c r="D22" s="15" t="s">
        <v>49</v>
      </c>
      <c r="E22" s="16">
        <v>47814513</v>
      </c>
      <c r="F22" s="14">
        <v>46693.86</v>
      </c>
      <c r="G22" s="11">
        <f t="shared" si="0"/>
        <v>100</v>
      </c>
      <c r="H22" s="16">
        <v>733</v>
      </c>
      <c r="I22" s="17">
        <v>367</v>
      </c>
      <c r="J22" s="14">
        <f t="shared" si="1"/>
        <v>100</v>
      </c>
      <c r="K22" s="18">
        <v>0</v>
      </c>
      <c r="L22" s="16">
        <v>0</v>
      </c>
      <c r="M22" s="14">
        <v>0</v>
      </c>
      <c r="N22" s="14">
        <v>367</v>
      </c>
      <c r="O22" s="14">
        <v>0</v>
      </c>
      <c r="P22" s="19">
        <v>0</v>
      </c>
      <c r="Q22" s="16">
        <v>0</v>
      </c>
      <c r="R22" s="14">
        <v>0</v>
      </c>
      <c r="S22" s="14">
        <v>100</v>
      </c>
      <c r="T22" s="14">
        <v>0</v>
      </c>
      <c r="U22" s="15">
        <v>0</v>
      </c>
      <c r="V22" s="16">
        <v>367</v>
      </c>
      <c r="W22" s="14">
        <v>0</v>
      </c>
      <c r="X22" s="19">
        <v>0</v>
      </c>
      <c r="Y22" s="16">
        <v>100</v>
      </c>
      <c r="Z22" s="14">
        <v>0</v>
      </c>
      <c r="AA22" s="15">
        <v>0</v>
      </c>
      <c r="AB22" s="16">
        <v>0</v>
      </c>
      <c r="AC22" s="14">
        <v>367</v>
      </c>
      <c r="AD22" s="19">
        <v>0</v>
      </c>
      <c r="AE22" s="16">
        <v>0</v>
      </c>
      <c r="AF22" s="14">
        <v>0</v>
      </c>
      <c r="AG22" s="14">
        <v>0</v>
      </c>
      <c r="AH22" s="19">
        <v>0</v>
      </c>
      <c r="AI22" s="16">
        <v>0</v>
      </c>
      <c r="AJ22" s="14">
        <v>0</v>
      </c>
      <c r="AK22" s="14">
        <v>0</v>
      </c>
      <c r="AL22" s="19">
        <v>0</v>
      </c>
      <c r="AM22" s="16">
        <v>0</v>
      </c>
      <c r="AN22" s="14">
        <v>0</v>
      </c>
      <c r="AO22" s="14">
        <v>0</v>
      </c>
      <c r="AP22" s="15">
        <v>0</v>
      </c>
      <c r="AQ22" s="16">
        <v>0</v>
      </c>
      <c r="AR22" s="14">
        <v>0</v>
      </c>
      <c r="AS22" s="15">
        <v>0</v>
      </c>
      <c r="AT22" s="16">
        <v>0</v>
      </c>
      <c r="AU22" s="14">
        <v>0</v>
      </c>
      <c r="AV22" s="19">
        <v>0</v>
      </c>
    </row>
    <row r="23" spans="1:48" ht="15.75" x14ac:dyDescent="0.25">
      <c r="A23" s="75"/>
      <c r="B23" s="64"/>
      <c r="C23" s="14">
        <v>20</v>
      </c>
      <c r="D23" s="15" t="s">
        <v>50</v>
      </c>
      <c r="E23" s="16">
        <v>404225</v>
      </c>
      <c r="F23" s="14">
        <v>394.75</v>
      </c>
      <c r="G23" s="11">
        <f t="shared" si="0"/>
        <v>100</v>
      </c>
      <c r="H23" s="16">
        <v>1860</v>
      </c>
      <c r="I23" s="17">
        <v>48360</v>
      </c>
      <c r="J23" s="14">
        <f t="shared" si="1"/>
        <v>100</v>
      </c>
      <c r="K23" s="18">
        <v>49843</v>
      </c>
      <c r="L23" s="16">
        <v>0</v>
      </c>
      <c r="M23" s="14">
        <v>0</v>
      </c>
      <c r="N23" s="14">
        <v>48360</v>
      </c>
      <c r="O23" s="14">
        <v>0</v>
      </c>
      <c r="P23" s="19">
        <v>0</v>
      </c>
      <c r="Q23" s="16">
        <v>0</v>
      </c>
      <c r="R23" s="14">
        <v>0</v>
      </c>
      <c r="S23" s="14">
        <v>100</v>
      </c>
      <c r="T23" s="14">
        <v>0</v>
      </c>
      <c r="U23" s="15">
        <v>0</v>
      </c>
      <c r="V23" s="16">
        <v>48360</v>
      </c>
      <c r="W23" s="14">
        <v>0</v>
      </c>
      <c r="X23" s="19">
        <v>0</v>
      </c>
      <c r="Y23" s="16">
        <v>100</v>
      </c>
      <c r="Z23" s="14">
        <v>0</v>
      </c>
      <c r="AA23" s="15">
        <v>0</v>
      </c>
      <c r="AB23" s="16">
        <v>0</v>
      </c>
      <c r="AC23" s="14">
        <v>48360</v>
      </c>
      <c r="AD23" s="19">
        <v>0</v>
      </c>
      <c r="AE23" s="16">
        <v>0</v>
      </c>
      <c r="AF23" s="14">
        <v>0</v>
      </c>
      <c r="AG23" s="14">
        <v>0</v>
      </c>
      <c r="AH23" s="19">
        <v>0</v>
      </c>
      <c r="AI23" s="16">
        <v>0</v>
      </c>
      <c r="AJ23" s="14">
        <v>0</v>
      </c>
      <c r="AK23" s="14">
        <v>0</v>
      </c>
      <c r="AL23" s="19">
        <v>0</v>
      </c>
      <c r="AM23" s="16">
        <v>0</v>
      </c>
      <c r="AN23" s="14">
        <v>0</v>
      </c>
      <c r="AO23" s="14">
        <v>0</v>
      </c>
      <c r="AP23" s="15">
        <v>0</v>
      </c>
      <c r="AQ23" s="16">
        <v>153170</v>
      </c>
      <c r="AR23" s="14">
        <v>155205</v>
      </c>
      <c r="AS23" s="15">
        <v>101.33</v>
      </c>
      <c r="AT23" s="16">
        <v>1339700</v>
      </c>
      <c r="AU23" s="14">
        <v>604</v>
      </c>
      <c r="AV23" s="19">
        <v>0.05</v>
      </c>
    </row>
    <row r="24" spans="1:48" ht="16.5" thickBot="1" x14ac:dyDescent="0.3">
      <c r="A24" s="75"/>
      <c r="B24" s="65"/>
      <c r="C24" s="20">
        <v>21</v>
      </c>
      <c r="D24" s="21" t="s">
        <v>51</v>
      </c>
      <c r="E24" s="22">
        <v>17511</v>
      </c>
      <c r="F24" s="23">
        <v>17.100000000000001</v>
      </c>
      <c r="G24" s="11">
        <f t="shared" si="0"/>
        <v>100</v>
      </c>
      <c r="H24" s="22">
        <v>17</v>
      </c>
      <c r="I24" s="24">
        <v>27</v>
      </c>
      <c r="J24" s="23">
        <f t="shared" si="1"/>
        <v>100</v>
      </c>
      <c r="K24" s="25">
        <v>26</v>
      </c>
      <c r="L24" s="22">
        <v>2</v>
      </c>
      <c r="M24" s="20">
        <v>0</v>
      </c>
      <c r="N24" s="20">
        <v>25</v>
      </c>
      <c r="O24" s="20">
        <v>0</v>
      </c>
      <c r="P24" s="26">
        <v>0</v>
      </c>
      <c r="Q24" s="22">
        <v>7.41</v>
      </c>
      <c r="R24" s="20">
        <v>0</v>
      </c>
      <c r="S24" s="20">
        <v>92.59</v>
      </c>
      <c r="T24" s="20">
        <v>0</v>
      </c>
      <c r="U24" s="21">
        <v>0</v>
      </c>
      <c r="V24" s="22">
        <v>27</v>
      </c>
      <c r="W24" s="20">
        <v>0</v>
      </c>
      <c r="X24" s="26">
        <v>0</v>
      </c>
      <c r="Y24" s="22">
        <v>100</v>
      </c>
      <c r="Z24" s="20">
        <v>0</v>
      </c>
      <c r="AA24" s="21">
        <v>0</v>
      </c>
      <c r="AB24" s="22">
        <v>2</v>
      </c>
      <c r="AC24" s="20">
        <v>27</v>
      </c>
      <c r="AD24" s="27">
        <v>7.41</v>
      </c>
      <c r="AE24" s="22">
        <v>0</v>
      </c>
      <c r="AF24" s="20">
        <v>1</v>
      </c>
      <c r="AG24" s="20">
        <v>0</v>
      </c>
      <c r="AH24" s="27">
        <v>1</v>
      </c>
      <c r="AI24" s="22">
        <v>0</v>
      </c>
      <c r="AJ24" s="20">
        <v>50</v>
      </c>
      <c r="AK24" s="20">
        <v>0</v>
      </c>
      <c r="AL24" s="26">
        <v>50</v>
      </c>
      <c r="AM24" s="22">
        <v>0</v>
      </c>
      <c r="AN24" s="20">
        <v>3.7</v>
      </c>
      <c r="AO24" s="20">
        <v>0</v>
      </c>
      <c r="AP24" s="21">
        <v>3.7</v>
      </c>
      <c r="AQ24" s="22">
        <v>1346</v>
      </c>
      <c r="AR24" s="20">
        <v>1331</v>
      </c>
      <c r="AS24" s="21">
        <v>98.89</v>
      </c>
      <c r="AT24" s="22">
        <v>7875</v>
      </c>
      <c r="AU24" s="20">
        <v>0</v>
      </c>
      <c r="AV24" s="27">
        <v>0</v>
      </c>
    </row>
    <row r="25" spans="1:48" ht="16.5" thickBot="1" x14ac:dyDescent="0.3">
      <c r="A25" s="28"/>
      <c r="B25" s="29"/>
      <c r="C25" s="30"/>
      <c r="D25" s="31"/>
      <c r="E25" s="32"/>
      <c r="F25" s="6"/>
      <c r="G25" s="31"/>
      <c r="H25" s="29"/>
      <c r="I25" s="30"/>
      <c r="J25" s="6"/>
      <c r="K25" s="29"/>
      <c r="L25" s="33"/>
      <c r="M25" s="34"/>
      <c r="N25" s="34"/>
      <c r="O25" s="34"/>
      <c r="P25" s="35"/>
      <c r="Q25" s="36"/>
      <c r="R25" s="34"/>
      <c r="S25" s="34"/>
      <c r="T25" s="34"/>
      <c r="U25" s="31"/>
      <c r="V25" s="36"/>
      <c r="W25" s="34"/>
      <c r="X25" s="35"/>
      <c r="Y25" s="36"/>
      <c r="Z25" s="34"/>
      <c r="AA25" s="31"/>
      <c r="AB25" s="36"/>
      <c r="AC25" s="34"/>
      <c r="AD25" s="35"/>
      <c r="AE25" s="36"/>
      <c r="AF25" s="34"/>
      <c r="AG25" s="34"/>
      <c r="AH25" s="30"/>
      <c r="AI25" s="37"/>
      <c r="AJ25" s="34"/>
      <c r="AK25" s="34"/>
      <c r="AL25" s="30"/>
      <c r="AM25" s="37"/>
      <c r="AN25" s="34"/>
      <c r="AO25" s="34"/>
      <c r="AP25" s="31"/>
      <c r="AQ25" s="36"/>
      <c r="AR25" s="34"/>
      <c r="AS25" s="31"/>
      <c r="AT25" s="36"/>
      <c r="AU25" s="34"/>
      <c r="AV25" s="35"/>
    </row>
    <row r="26" spans="1:48" ht="15.75" x14ac:dyDescent="0.25">
      <c r="A26" s="75" t="s">
        <v>52</v>
      </c>
      <c r="B26" s="66">
        <v>17</v>
      </c>
      <c r="C26" s="10">
        <v>1</v>
      </c>
      <c r="D26" s="11" t="s">
        <v>31</v>
      </c>
      <c r="E26" s="38">
        <v>520718</v>
      </c>
      <c r="F26" s="7">
        <v>508.51</v>
      </c>
      <c r="G26" s="11">
        <f>ROUND( F26 / _xlfn.XLOOKUP(D26, $D$4:$D$24, $F$4:$F$24) * 100, 2 )</f>
        <v>100.74</v>
      </c>
      <c r="H26" s="9">
        <v>82</v>
      </c>
      <c r="I26" s="39">
        <v>1211</v>
      </c>
      <c r="J26" s="7">
        <f>ROUND( I26 / _xlfn.XLOOKUP(D26, $D$4:$D$24, $I$4:$I$24) * 100, 2 )</f>
        <v>453.56</v>
      </c>
      <c r="K26" s="40">
        <v>1163</v>
      </c>
      <c r="L26" s="9">
        <v>0</v>
      </c>
      <c r="M26" s="10">
        <v>18</v>
      </c>
      <c r="N26" s="10">
        <v>865</v>
      </c>
      <c r="O26" s="10">
        <v>92</v>
      </c>
      <c r="P26" s="41">
        <v>236</v>
      </c>
      <c r="Q26" s="9">
        <v>0</v>
      </c>
      <c r="R26" s="10">
        <v>1.49</v>
      </c>
      <c r="S26" s="10">
        <v>71.430000000000007</v>
      </c>
      <c r="T26" s="10">
        <v>7.6</v>
      </c>
      <c r="U26" s="11">
        <v>19.489999999999998</v>
      </c>
      <c r="V26" s="9">
        <v>946</v>
      </c>
      <c r="W26" s="10">
        <v>236</v>
      </c>
      <c r="X26" s="41">
        <v>29</v>
      </c>
      <c r="Y26" s="9">
        <v>78.12</v>
      </c>
      <c r="Z26" s="10">
        <v>19.489999999999998</v>
      </c>
      <c r="AA26" s="11">
        <v>2.39</v>
      </c>
      <c r="AB26" s="9">
        <v>294</v>
      </c>
      <c r="AC26" s="10">
        <v>1211</v>
      </c>
      <c r="AD26" s="13">
        <v>24.28</v>
      </c>
      <c r="AE26" s="9">
        <v>112</v>
      </c>
      <c r="AF26" s="10">
        <v>98</v>
      </c>
      <c r="AG26" s="10">
        <v>32</v>
      </c>
      <c r="AH26" s="41">
        <v>52</v>
      </c>
      <c r="AI26" s="9">
        <v>38.1</v>
      </c>
      <c r="AJ26" s="10">
        <v>33.33</v>
      </c>
      <c r="AK26" s="10">
        <v>10.88</v>
      </c>
      <c r="AL26" s="41">
        <v>17.690000000000001</v>
      </c>
      <c r="AM26" s="9">
        <v>9.25</v>
      </c>
      <c r="AN26" s="10">
        <v>8.09</v>
      </c>
      <c r="AO26" s="10">
        <v>2.64</v>
      </c>
      <c r="AP26" s="11">
        <v>4.29</v>
      </c>
      <c r="AQ26" s="9">
        <v>2294</v>
      </c>
      <c r="AR26" s="10">
        <v>2259</v>
      </c>
      <c r="AS26" s="11">
        <v>98.47</v>
      </c>
      <c r="AT26" s="9">
        <v>13966</v>
      </c>
      <c r="AU26" s="10">
        <v>11</v>
      </c>
      <c r="AV26" s="13">
        <v>0.08</v>
      </c>
    </row>
    <row r="27" spans="1:48" ht="15.75" x14ac:dyDescent="0.25">
      <c r="A27" s="75"/>
      <c r="B27" s="64"/>
      <c r="C27" s="14">
        <v>3</v>
      </c>
      <c r="D27" s="15" t="s">
        <v>33</v>
      </c>
      <c r="E27" s="16">
        <v>49011</v>
      </c>
      <c r="F27" s="14">
        <v>47.86</v>
      </c>
      <c r="G27" s="11">
        <f t="shared" ref="G27:G41" si="2">ROUND( F27 / _xlfn.XLOOKUP(D27, $D$4:$D$24, $F$4:$F$24) * 100, 2 )</f>
        <v>109.39</v>
      </c>
      <c r="H27" s="16">
        <v>49</v>
      </c>
      <c r="I27" s="17">
        <v>1142</v>
      </c>
      <c r="J27" s="14">
        <f t="shared" ref="J27:J41" si="3">ROUND( I27 / _xlfn.XLOOKUP(D27, $D$4:$D$24, $I$4:$I$24) * 100, 2 )</f>
        <v>576.77</v>
      </c>
      <c r="K27" s="18">
        <v>1061</v>
      </c>
      <c r="L27" s="16">
        <v>0</v>
      </c>
      <c r="M27" s="14">
        <v>0</v>
      </c>
      <c r="N27" s="14">
        <v>66</v>
      </c>
      <c r="O27" s="14">
        <v>840</v>
      </c>
      <c r="P27" s="19">
        <v>236</v>
      </c>
      <c r="Q27" s="16">
        <v>0</v>
      </c>
      <c r="R27" s="14">
        <v>0</v>
      </c>
      <c r="S27" s="14">
        <v>5.78</v>
      </c>
      <c r="T27" s="14">
        <v>73.56</v>
      </c>
      <c r="U27" s="15">
        <v>20.67</v>
      </c>
      <c r="V27" s="16">
        <v>906</v>
      </c>
      <c r="W27" s="14">
        <v>236</v>
      </c>
      <c r="X27" s="19">
        <v>0</v>
      </c>
      <c r="Y27" s="16">
        <v>79.33</v>
      </c>
      <c r="Z27" s="14">
        <v>20.67</v>
      </c>
      <c r="AA27" s="15">
        <v>0</v>
      </c>
      <c r="AB27" s="16">
        <v>316</v>
      </c>
      <c r="AC27" s="14">
        <v>1142</v>
      </c>
      <c r="AD27" s="19">
        <v>27.67</v>
      </c>
      <c r="AE27" s="16">
        <v>112</v>
      </c>
      <c r="AF27" s="14">
        <v>99</v>
      </c>
      <c r="AG27" s="14">
        <v>31</v>
      </c>
      <c r="AH27" s="19">
        <v>74</v>
      </c>
      <c r="AI27" s="16">
        <v>35.44</v>
      </c>
      <c r="AJ27" s="14">
        <v>31.33</v>
      </c>
      <c r="AK27" s="14">
        <v>9.81</v>
      </c>
      <c r="AL27" s="19">
        <v>23.42</v>
      </c>
      <c r="AM27" s="16">
        <v>9.81</v>
      </c>
      <c r="AN27" s="14">
        <v>8.67</v>
      </c>
      <c r="AO27" s="14">
        <v>2.71</v>
      </c>
      <c r="AP27" s="15">
        <v>6.48</v>
      </c>
      <c r="AQ27" s="16">
        <v>982</v>
      </c>
      <c r="AR27" s="14">
        <v>1067</v>
      </c>
      <c r="AS27" s="15">
        <v>108.66</v>
      </c>
      <c r="AT27" s="16">
        <v>5562</v>
      </c>
      <c r="AU27" s="14">
        <v>15</v>
      </c>
      <c r="AV27" s="19">
        <v>0.27</v>
      </c>
    </row>
    <row r="28" spans="1:48" ht="15.75" x14ac:dyDescent="0.25">
      <c r="A28" s="75"/>
      <c r="B28" s="64"/>
      <c r="C28" s="14">
        <v>4</v>
      </c>
      <c r="D28" s="15" t="s">
        <v>34</v>
      </c>
      <c r="E28" s="16">
        <v>2626625</v>
      </c>
      <c r="F28" s="14">
        <v>2565.06</v>
      </c>
      <c r="G28" s="11">
        <f t="shared" si="2"/>
        <v>100.12</v>
      </c>
      <c r="H28" s="16">
        <v>313</v>
      </c>
      <c r="I28" s="17">
        <v>1680</v>
      </c>
      <c r="J28" s="14">
        <f t="shared" si="3"/>
        <v>228.26</v>
      </c>
      <c r="K28" s="18">
        <v>1589</v>
      </c>
      <c r="L28" s="16">
        <v>0</v>
      </c>
      <c r="M28" s="14">
        <v>1301</v>
      </c>
      <c r="N28" s="14">
        <v>112</v>
      </c>
      <c r="O28" s="14">
        <v>31</v>
      </c>
      <c r="P28" s="19">
        <v>236</v>
      </c>
      <c r="Q28" s="16">
        <v>0</v>
      </c>
      <c r="R28" s="14">
        <v>77.44</v>
      </c>
      <c r="S28" s="14">
        <v>6.67</v>
      </c>
      <c r="T28" s="14">
        <v>1.85</v>
      </c>
      <c r="U28" s="15">
        <v>14.05</v>
      </c>
      <c r="V28" s="16">
        <v>1444</v>
      </c>
      <c r="W28" s="14">
        <v>236</v>
      </c>
      <c r="X28" s="19">
        <v>0</v>
      </c>
      <c r="Y28" s="16">
        <v>85.95</v>
      </c>
      <c r="Z28" s="14">
        <v>14.05</v>
      </c>
      <c r="AA28" s="15">
        <v>0</v>
      </c>
      <c r="AB28" s="16">
        <v>297</v>
      </c>
      <c r="AC28" s="14">
        <v>1680</v>
      </c>
      <c r="AD28" s="19">
        <v>17.68</v>
      </c>
      <c r="AE28" s="16">
        <v>114</v>
      </c>
      <c r="AF28" s="14">
        <v>101</v>
      </c>
      <c r="AG28" s="14">
        <v>50</v>
      </c>
      <c r="AH28" s="19">
        <v>32</v>
      </c>
      <c r="AI28" s="16">
        <v>38.380000000000003</v>
      </c>
      <c r="AJ28" s="14">
        <v>34.01</v>
      </c>
      <c r="AK28" s="14">
        <v>16.84</v>
      </c>
      <c r="AL28" s="19">
        <v>10.77</v>
      </c>
      <c r="AM28" s="16">
        <v>6.79</v>
      </c>
      <c r="AN28" s="14">
        <v>6.01</v>
      </c>
      <c r="AO28" s="14">
        <v>2.98</v>
      </c>
      <c r="AP28" s="15">
        <v>1.9</v>
      </c>
      <c r="AQ28" s="16">
        <v>5768</v>
      </c>
      <c r="AR28" s="14">
        <v>5930</v>
      </c>
      <c r="AS28" s="15">
        <v>102.81</v>
      </c>
      <c r="AT28" s="16">
        <v>37373</v>
      </c>
      <c r="AU28" s="14">
        <v>33</v>
      </c>
      <c r="AV28" s="19">
        <v>0.09</v>
      </c>
    </row>
    <row r="29" spans="1:48" ht="15.75" x14ac:dyDescent="0.25">
      <c r="A29" s="75"/>
      <c r="B29" s="64"/>
      <c r="C29" s="14">
        <v>5</v>
      </c>
      <c r="D29" s="15" t="s">
        <v>35</v>
      </c>
      <c r="E29" s="16">
        <v>43010</v>
      </c>
      <c r="F29" s="14">
        <v>42</v>
      </c>
      <c r="G29" s="11">
        <f t="shared" si="2"/>
        <v>107.89</v>
      </c>
      <c r="H29" s="16">
        <v>33</v>
      </c>
      <c r="I29" s="17">
        <v>1024</v>
      </c>
      <c r="J29" s="14">
        <f t="shared" si="3"/>
        <v>1280</v>
      </c>
      <c r="K29" s="18">
        <v>857</v>
      </c>
      <c r="L29" s="16">
        <v>0</v>
      </c>
      <c r="M29" s="14">
        <v>772</v>
      </c>
      <c r="N29" s="14">
        <v>16</v>
      </c>
      <c r="O29" s="14">
        <v>0</v>
      </c>
      <c r="P29" s="19">
        <v>236</v>
      </c>
      <c r="Q29" s="16">
        <v>0</v>
      </c>
      <c r="R29" s="14">
        <v>75.39</v>
      </c>
      <c r="S29" s="14">
        <v>1.56</v>
      </c>
      <c r="T29" s="14">
        <v>0</v>
      </c>
      <c r="U29" s="15">
        <v>23.05</v>
      </c>
      <c r="V29" s="16">
        <v>788</v>
      </c>
      <c r="W29" s="14">
        <v>236</v>
      </c>
      <c r="X29" s="19">
        <v>0</v>
      </c>
      <c r="Y29" s="16">
        <v>76.95</v>
      </c>
      <c r="Z29" s="14">
        <v>23.05</v>
      </c>
      <c r="AA29" s="15">
        <v>0</v>
      </c>
      <c r="AB29" s="16">
        <v>254</v>
      </c>
      <c r="AC29" s="14">
        <v>1024</v>
      </c>
      <c r="AD29" s="19">
        <v>24.8</v>
      </c>
      <c r="AE29" s="16">
        <v>112</v>
      </c>
      <c r="AF29" s="14">
        <v>95</v>
      </c>
      <c r="AG29" s="14">
        <v>30</v>
      </c>
      <c r="AH29" s="19">
        <v>17</v>
      </c>
      <c r="AI29" s="16">
        <v>44.09</v>
      </c>
      <c r="AJ29" s="14">
        <v>37.4</v>
      </c>
      <c r="AK29" s="14">
        <v>11.81</v>
      </c>
      <c r="AL29" s="19">
        <v>6.69</v>
      </c>
      <c r="AM29" s="16">
        <v>10.94</v>
      </c>
      <c r="AN29" s="14">
        <v>9.2799999999999994</v>
      </c>
      <c r="AO29" s="14">
        <v>2.93</v>
      </c>
      <c r="AP29" s="15">
        <v>1.66</v>
      </c>
      <c r="AQ29" s="16">
        <v>709</v>
      </c>
      <c r="AR29" s="14">
        <v>1779</v>
      </c>
      <c r="AS29" s="15">
        <v>250.92</v>
      </c>
      <c r="AT29" s="16">
        <v>4488</v>
      </c>
      <c r="AU29" s="14">
        <v>0</v>
      </c>
      <c r="AV29" s="19">
        <v>0</v>
      </c>
    </row>
    <row r="30" spans="1:48" ht="15.75" x14ac:dyDescent="0.25">
      <c r="A30" s="75"/>
      <c r="B30" s="64"/>
      <c r="C30" s="14">
        <v>6</v>
      </c>
      <c r="D30" s="15" t="s">
        <v>36</v>
      </c>
      <c r="E30" s="16">
        <v>43184</v>
      </c>
      <c r="F30" s="14">
        <v>42.17</v>
      </c>
      <c r="G30" s="11">
        <f t="shared" si="2"/>
        <v>107.99</v>
      </c>
      <c r="H30" s="16">
        <v>77</v>
      </c>
      <c r="I30" s="17">
        <v>1038</v>
      </c>
      <c r="J30" s="14">
        <f t="shared" si="3"/>
        <v>1104.26</v>
      </c>
      <c r="K30" s="18">
        <v>1029</v>
      </c>
      <c r="L30" s="16">
        <v>0</v>
      </c>
      <c r="M30" s="14">
        <v>0</v>
      </c>
      <c r="N30" s="14">
        <v>689</v>
      </c>
      <c r="O30" s="14">
        <v>113</v>
      </c>
      <c r="P30" s="19">
        <v>236</v>
      </c>
      <c r="Q30" s="16">
        <v>0</v>
      </c>
      <c r="R30" s="14">
        <v>0</v>
      </c>
      <c r="S30" s="14">
        <v>66.38</v>
      </c>
      <c r="T30" s="14">
        <v>10.89</v>
      </c>
      <c r="U30" s="15">
        <v>22.74</v>
      </c>
      <c r="V30" s="16">
        <v>802</v>
      </c>
      <c r="W30" s="14">
        <v>236</v>
      </c>
      <c r="X30" s="19">
        <v>0</v>
      </c>
      <c r="Y30" s="16">
        <v>77.260000000000005</v>
      </c>
      <c r="Z30" s="14">
        <v>22.74</v>
      </c>
      <c r="AA30" s="15">
        <v>0</v>
      </c>
      <c r="AB30" s="16">
        <v>251</v>
      </c>
      <c r="AC30" s="14">
        <v>1038</v>
      </c>
      <c r="AD30" s="19">
        <v>24.18</v>
      </c>
      <c r="AE30" s="16">
        <v>112</v>
      </c>
      <c r="AF30" s="14">
        <v>99</v>
      </c>
      <c r="AG30" s="14">
        <v>32</v>
      </c>
      <c r="AH30" s="19">
        <v>8</v>
      </c>
      <c r="AI30" s="16">
        <v>44.62</v>
      </c>
      <c r="AJ30" s="14">
        <v>39.44</v>
      </c>
      <c r="AK30" s="14">
        <v>12.75</v>
      </c>
      <c r="AL30" s="19">
        <v>3.19</v>
      </c>
      <c r="AM30" s="16">
        <v>10.79</v>
      </c>
      <c r="AN30" s="14">
        <v>9.5399999999999991</v>
      </c>
      <c r="AO30" s="14">
        <v>3.08</v>
      </c>
      <c r="AP30" s="15">
        <v>0.77</v>
      </c>
      <c r="AQ30" s="16">
        <v>961</v>
      </c>
      <c r="AR30" s="14">
        <v>924</v>
      </c>
      <c r="AS30" s="15">
        <v>96.15</v>
      </c>
      <c r="AT30" s="16">
        <v>4848</v>
      </c>
      <c r="AU30" s="14">
        <v>5</v>
      </c>
      <c r="AV30" s="19">
        <v>0.1</v>
      </c>
    </row>
    <row r="31" spans="1:48" ht="15.75" x14ac:dyDescent="0.25">
      <c r="A31" s="75"/>
      <c r="B31" s="64"/>
      <c r="C31" s="14">
        <v>7</v>
      </c>
      <c r="D31" s="15" t="s">
        <v>37</v>
      </c>
      <c r="E31" s="16">
        <v>46033</v>
      </c>
      <c r="F31" s="14">
        <v>44.95</v>
      </c>
      <c r="G31" s="11">
        <f t="shared" si="2"/>
        <v>108.31</v>
      </c>
      <c r="H31" s="16">
        <v>55</v>
      </c>
      <c r="I31" s="17">
        <v>1119</v>
      </c>
      <c r="J31" s="14">
        <f t="shared" si="3"/>
        <v>639.42999999999995</v>
      </c>
      <c r="K31" s="18">
        <v>1098</v>
      </c>
      <c r="L31" s="16">
        <v>0</v>
      </c>
      <c r="M31" s="14">
        <v>857</v>
      </c>
      <c r="N31" s="14">
        <v>24</v>
      </c>
      <c r="O31" s="14">
        <v>2</v>
      </c>
      <c r="P31" s="19">
        <v>236</v>
      </c>
      <c r="Q31" s="16">
        <v>0</v>
      </c>
      <c r="R31" s="14">
        <v>76.59</v>
      </c>
      <c r="S31" s="14">
        <v>2.14</v>
      </c>
      <c r="T31" s="14">
        <v>0.18</v>
      </c>
      <c r="U31" s="15">
        <v>21.09</v>
      </c>
      <c r="V31" s="16">
        <v>883</v>
      </c>
      <c r="W31" s="14">
        <v>236</v>
      </c>
      <c r="X31" s="19">
        <v>0</v>
      </c>
      <c r="Y31" s="16">
        <v>78.91</v>
      </c>
      <c r="Z31" s="14">
        <v>21.09</v>
      </c>
      <c r="AA31" s="15">
        <v>0</v>
      </c>
      <c r="AB31" s="16">
        <v>251</v>
      </c>
      <c r="AC31" s="14">
        <v>1119</v>
      </c>
      <c r="AD31" s="19">
        <v>22.43</v>
      </c>
      <c r="AE31" s="16">
        <v>112</v>
      </c>
      <c r="AF31" s="14">
        <v>97</v>
      </c>
      <c r="AG31" s="14">
        <v>29</v>
      </c>
      <c r="AH31" s="19">
        <v>13</v>
      </c>
      <c r="AI31" s="16">
        <v>44.62</v>
      </c>
      <c r="AJ31" s="14">
        <v>38.65</v>
      </c>
      <c r="AK31" s="14">
        <v>11.55</v>
      </c>
      <c r="AL31" s="19">
        <v>5.18</v>
      </c>
      <c r="AM31" s="16">
        <v>10.01</v>
      </c>
      <c r="AN31" s="14">
        <v>8.67</v>
      </c>
      <c r="AO31" s="14">
        <v>2.59</v>
      </c>
      <c r="AP31" s="15">
        <v>1.1599999999999999</v>
      </c>
      <c r="AQ31" s="16">
        <v>1853</v>
      </c>
      <c r="AR31" s="14">
        <v>1908</v>
      </c>
      <c r="AS31" s="15">
        <v>102.97</v>
      </c>
      <c r="AT31" s="16">
        <v>10358</v>
      </c>
      <c r="AU31" s="14">
        <v>41</v>
      </c>
      <c r="AV31" s="19">
        <v>0.4</v>
      </c>
    </row>
    <row r="32" spans="1:48" ht="15.75" x14ac:dyDescent="0.25">
      <c r="A32" s="75"/>
      <c r="B32" s="64"/>
      <c r="C32" s="14">
        <v>8</v>
      </c>
      <c r="D32" s="15" t="s">
        <v>38</v>
      </c>
      <c r="E32" s="16">
        <v>173161</v>
      </c>
      <c r="F32" s="14">
        <v>169.1</v>
      </c>
      <c r="G32" s="11">
        <f t="shared" si="2"/>
        <v>102</v>
      </c>
      <c r="H32" s="16">
        <v>37</v>
      </c>
      <c r="I32" s="17">
        <v>1108</v>
      </c>
      <c r="J32" s="14">
        <f t="shared" si="3"/>
        <v>675.61</v>
      </c>
      <c r="K32" s="18">
        <v>1057</v>
      </c>
      <c r="L32" s="16">
        <v>3</v>
      </c>
      <c r="M32" s="14">
        <v>49</v>
      </c>
      <c r="N32" s="14">
        <v>820</v>
      </c>
      <c r="O32" s="14">
        <v>0</v>
      </c>
      <c r="P32" s="19">
        <v>236</v>
      </c>
      <c r="Q32" s="16">
        <v>0.27</v>
      </c>
      <c r="R32" s="14">
        <v>4.42</v>
      </c>
      <c r="S32" s="14">
        <v>74.010000000000005</v>
      </c>
      <c r="T32" s="14">
        <v>0</v>
      </c>
      <c r="U32" s="15">
        <v>21.3</v>
      </c>
      <c r="V32" s="16">
        <v>807</v>
      </c>
      <c r="W32" s="14">
        <v>243</v>
      </c>
      <c r="X32" s="19">
        <v>58</v>
      </c>
      <c r="Y32" s="16">
        <v>72.83</v>
      </c>
      <c r="Z32" s="14">
        <v>21.93</v>
      </c>
      <c r="AA32" s="15">
        <v>5.23</v>
      </c>
      <c r="AB32" s="16">
        <v>307</v>
      </c>
      <c r="AC32" s="14">
        <v>1108</v>
      </c>
      <c r="AD32" s="19">
        <v>27.71</v>
      </c>
      <c r="AE32" s="16">
        <v>113</v>
      </c>
      <c r="AF32" s="14">
        <v>99</v>
      </c>
      <c r="AG32" s="14">
        <v>28</v>
      </c>
      <c r="AH32" s="19">
        <v>67</v>
      </c>
      <c r="AI32" s="16">
        <v>36.81</v>
      </c>
      <c r="AJ32" s="14">
        <v>32.25</v>
      </c>
      <c r="AK32" s="14">
        <v>9.1199999999999992</v>
      </c>
      <c r="AL32" s="19">
        <v>21.82</v>
      </c>
      <c r="AM32" s="16">
        <v>10.199999999999999</v>
      </c>
      <c r="AN32" s="14">
        <v>8.94</v>
      </c>
      <c r="AO32" s="14">
        <v>2.5299999999999998</v>
      </c>
      <c r="AP32" s="15">
        <v>6.05</v>
      </c>
      <c r="AQ32" s="16">
        <v>970</v>
      </c>
      <c r="AR32" s="14">
        <v>971</v>
      </c>
      <c r="AS32" s="15">
        <v>100.1</v>
      </c>
      <c r="AT32" s="16">
        <v>5155</v>
      </c>
      <c r="AU32" s="14">
        <v>16</v>
      </c>
      <c r="AV32" s="19">
        <v>0.31</v>
      </c>
    </row>
    <row r="33" spans="1:48" ht="15.75" x14ac:dyDescent="0.25">
      <c r="A33" s="75"/>
      <c r="B33" s="64"/>
      <c r="C33" s="14">
        <v>9</v>
      </c>
      <c r="D33" s="15" t="s">
        <v>39</v>
      </c>
      <c r="E33" s="16">
        <v>10943017</v>
      </c>
      <c r="F33" s="14">
        <v>10686.54</v>
      </c>
      <c r="G33" s="11">
        <f t="shared" si="2"/>
        <v>100.05</v>
      </c>
      <c r="H33" s="16">
        <v>726</v>
      </c>
      <c r="I33" s="17">
        <v>2847</v>
      </c>
      <c r="J33" s="14">
        <f t="shared" si="3"/>
        <v>149.61000000000001</v>
      </c>
      <c r="K33" s="18">
        <v>2677</v>
      </c>
      <c r="L33" s="16">
        <v>18</v>
      </c>
      <c r="M33" s="14">
        <v>22</v>
      </c>
      <c r="N33" s="14">
        <v>2183</v>
      </c>
      <c r="O33" s="14">
        <v>388</v>
      </c>
      <c r="P33" s="19">
        <v>236</v>
      </c>
      <c r="Q33" s="16">
        <v>0.63</v>
      </c>
      <c r="R33" s="14">
        <v>0.77</v>
      </c>
      <c r="S33" s="14">
        <v>76.680000000000007</v>
      </c>
      <c r="T33" s="14">
        <v>13.63</v>
      </c>
      <c r="U33" s="15">
        <v>8.2899999999999991</v>
      </c>
      <c r="V33" s="16">
        <v>1764</v>
      </c>
      <c r="W33" s="14">
        <v>246</v>
      </c>
      <c r="X33" s="19">
        <v>837</v>
      </c>
      <c r="Y33" s="16">
        <v>61.96</v>
      </c>
      <c r="Z33" s="14">
        <v>8.64</v>
      </c>
      <c r="AA33" s="15">
        <v>29.4</v>
      </c>
      <c r="AB33" s="16">
        <v>438</v>
      </c>
      <c r="AC33" s="14">
        <v>2847</v>
      </c>
      <c r="AD33" s="19">
        <v>15.38</v>
      </c>
      <c r="AE33" s="16">
        <v>113</v>
      </c>
      <c r="AF33" s="14">
        <v>100</v>
      </c>
      <c r="AG33" s="14">
        <v>38</v>
      </c>
      <c r="AH33" s="19">
        <v>187</v>
      </c>
      <c r="AI33" s="16">
        <v>25.8</v>
      </c>
      <c r="AJ33" s="14">
        <v>22.83</v>
      </c>
      <c r="AK33" s="14">
        <v>8.68</v>
      </c>
      <c r="AL33" s="19">
        <v>42.69</v>
      </c>
      <c r="AM33" s="16">
        <v>3.97</v>
      </c>
      <c r="AN33" s="14">
        <v>3.51</v>
      </c>
      <c r="AO33" s="14">
        <v>1.33</v>
      </c>
      <c r="AP33" s="15">
        <v>6.57</v>
      </c>
      <c r="AQ33" s="16">
        <v>10998</v>
      </c>
      <c r="AR33" s="14">
        <v>11272</v>
      </c>
      <c r="AS33" s="15">
        <v>102.49</v>
      </c>
      <c r="AT33" s="16">
        <v>73799</v>
      </c>
      <c r="AU33" s="14">
        <v>2492</v>
      </c>
      <c r="AV33" s="19">
        <v>3.38</v>
      </c>
    </row>
    <row r="34" spans="1:48" ht="15.75" x14ac:dyDescent="0.25">
      <c r="A34" s="75"/>
      <c r="B34" s="64"/>
      <c r="C34" s="14">
        <v>10</v>
      </c>
      <c r="D34" s="15" t="s">
        <v>40</v>
      </c>
      <c r="E34" s="16">
        <v>44807</v>
      </c>
      <c r="F34" s="14">
        <v>43.76</v>
      </c>
      <c r="G34" s="11">
        <f t="shared" si="2"/>
        <v>103.13</v>
      </c>
      <c r="H34" s="16">
        <v>178</v>
      </c>
      <c r="I34" s="17">
        <v>3792</v>
      </c>
      <c r="J34" s="14">
        <f t="shared" si="3"/>
        <v>133.15</v>
      </c>
      <c r="K34" s="18">
        <v>3792</v>
      </c>
      <c r="L34" s="16">
        <v>0</v>
      </c>
      <c r="M34" s="14">
        <v>0</v>
      </c>
      <c r="N34" s="14">
        <v>3556</v>
      </c>
      <c r="O34" s="14">
        <v>0</v>
      </c>
      <c r="P34" s="19">
        <v>236</v>
      </c>
      <c r="Q34" s="16">
        <v>0</v>
      </c>
      <c r="R34" s="14">
        <v>0</v>
      </c>
      <c r="S34" s="14">
        <v>93.78</v>
      </c>
      <c r="T34" s="14">
        <v>0</v>
      </c>
      <c r="U34" s="15">
        <v>6.22</v>
      </c>
      <c r="V34" s="16">
        <v>3556</v>
      </c>
      <c r="W34" s="14">
        <v>236</v>
      </c>
      <c r="X34" s="19">
        <v>0</v>
      </c>
      <c r="Y34" s="16">
        <v>93.78</v>
      </c>
      <c r="Z34" s="14">
        <v>6.22</v>
      </c>
      <c r="AA34" s="15">
        <v>0</v>
      </c>
      <c r="AB34" s="16">
        <v>257</v>
      </c>
      <c r="AC34" s="14">
        <v>3792</v>
      </c>
      <c r="AD34" s="19">
        <v>6.78</v>
      </c>
      <c r="AE34" s="16">
        <v>112</v>
      </c>
      <c r="AF34" s="14">
        <v>95</v>
      </c>
      <c r="AG34" s="14">
        <v>49</v>
      </c>
      <c r="AH34" s="19">
        <v>1</v>
      </c>
      <c r="AI34" s="16">
        <v>43.58</v>
      </c>
      <c r="AJ34" s="14">
        <v>36.96</v>
      </c>
      <c r="AK34" s="14">
        <v>19.07</v>
      </c>
      <c r="AL34" s="19">
        <v>0.39</v>
      </c>
      <c r="AM34" s="16">
        <v>2.95</v>
      </c>
      <c r="AN34" s="14">
        <v>2.5099999999999998</v>
      </c>
      <c r="AO34" s="14">
        <v>1.29</v>
      </c>
      <c r="AP34" s="15">
        <v>0.03</v>
      </c>
      <c r="AQ34" s="16">
        <v>3331</v>
      </c>
      <c r="AR34" s="14">
        <v>3331</v>
      </c>
      <c r="AS34" s="15">
        <v>100</v>
      </c>
      <c r="AT34" s="16">
        <v>15827</v>
      </c>
      <c r="AU34" s="14">
        <v>0</v>
      </c>
      <c r="AV34" s="19">
        <v>0</v>
      </c>
    </row>
    <row r="35" spans="1:48" ht="15.75" x14ac:dyDescent="0.25">
      <c r="A35" s="75"/>
      <c r="B35" s="64"/>
      <c r="C35" s="14">
        <v>11</v>
      </c>
      <c r="D35" s="15" t="s">
        <v>41</v>
      </c>
      <c r="E35" s="16">
        <v>52966</v>
      </c>
      <c r="F35" s="14">
        <v>51.72</v>
      </c>
      <c r="G35" s="11">
        <f t="shared" si="2"/>
        <v>102.27</v>
      </c>
      <c r="H35" s="16">
        <v>2100</v>
      </c>
      <c r="I35" s="17">
        <v>36644</v>
      </c>
      <c r="J35" s="14">
        <f t="shared" si="3"/>
        <v>102.64</v>
      </c>
      <c r="K35" s="18">
        <v>36644</v>
      </c>
      <c r="L35" s="16">
        <v>0</v>
      </c>
      <c r="M35" s="14">
        <v>0</v>
      </c>
      <c r="N35" s="14">
        <v>36408</v>
      </c>
      <c r="O35" s="14">
        <v>0</v>
      </c>
      <c r="P35" s="19">
        <v>236</v>
      </c>
      <c r="Q35" s="16">
        <v>0</v>
      </c>
      <c r="R35" s="14">
        <v>0</v>
      </c>
      <c r="S35" s="14">
        <v>99.36</v>
      </c>
      <c r="T35" s="14">
        <v>0</v>
      </c>
      <c r="U35" s="15">
        <v>0.64</v>
      </c>
      <c r="V35" s="16">
        <v>36408</v>
      </c>
      <c r="W35" s="14">
        <v>236</v>
      </c>
      <c r="X35" s="19">
        <v>0</v>
      </c>
      <c r="Y35" s="16">
        <v>99.36</v>
      </c>
      <c r="Z35" s="14">
        <v>0.64</v>
      </c>
      <c r="AA35" s="15">
        <v>0</v>
      </c>
      <c r="AB35" s="16">
        <v>236</v>
      </c>
      <c r="AC35" s="14">
        <v>36644</v>
      </c>
      <c r="AD35" s="19">
        <v>0.64</v>
      </c>
      <c r="AE35" s="16">
        <v>112</v>
      </c>
      <c r="AF35" s="14">
        <v>95</v>
      </c>
      <c r="AG35" s="14">
        <v>28</v>
      </c>
      <c r="AH35" s="19">
        <v>1</v>
      </c>
      <c r="AI35" s="16">
        <v>47.46</v>
      </c>
      <c r="AJ35" s="14">
        <v>40.25</v>
      </c>
      <c r="AK35" s="14">
        <v>11.86</v>
      </c>
      <c r="AL35" s="19">
        <v>0.42</v>
      </c>
      <c r="AM35" s="16">
        <v>0.31</v>
      </c>
      <c r="AN35" s="14">
        <v>0.26</v>
      </c>
      <c r="AO35" s="14">
        <v>0.08</v>
      </c>
      <c r="AP35" s="15">
        <v>0</v>
      </c>
      <c r="AQ35" s="16">
        <v>36187</v>
      </c>
      <c r="AR35" s="14">
        <v>36187</v>
      </c>
      <c r="AS35" s="15">
        <v>100</v>
      </c>
      <c r="AT35" s="16">
        <v>180081</v>
      </c>
      <c r="AU35" s="14">
        <v>0</v>
      </c>
      <c r="AV35" s="19">
        <v>0</v>
      </c>
    </row>
    <row r="36" spans="1:48" ht="15.75" x14ac:dyDescent="0.25">
      <c r="A36" s="75"/>
      <c r="B36" s="64"/>
      <c r="C36" s="14">
        <v>12</v>
      </c>
      <c r="D36" s="15" t="s">
        <v>42</v>
      </c>
      <c r="E36" s="16">
        <v>45103</v>
      </c>
      <c r="F36" s="14">
        <v>44.05</v>
      </c>
      <c r="G36" s="11">
        <f t="shared" si="2"/>
        <v>102.9</v>
      </c>
      <c r="H36" s="16">
        <v>180</v>
      </c>
      <c r="I36" s="17">
        <v>3824</v>
      </c>
      <c r="J36" s="14">
        <f t="shared" si="3"/>
        <v>132.78</v>
      </c>
      <c r="K36" s="18">
        <v>3824</v>
      </c>
      <c r="L36" s="16">
        <v>0</v>
      </c>
      <c r="M36" s="14">
        <v>0</v>
      </c>
      <c r="N36" s="14">
        <v>3588</v>
      </c>
      <c r="O36" s="14">
        <v>0</v>
      </c>
      <c r="P36" s="19">
        <v>236</v>
      </c>
      <c r="Q36" s="16">
        <v>0</v>
      </c>
      <c r="R36" s="14">
        <v>0</v>
      </c>
      <c r="S36" s="14">
        <v>93.83</v>
      </c>
      <c r="T36" s="14">
        <v>0</v>
      </c>
      <c r="U36" s="15">
        <v>6.17</v>
      </c>
      <c r="V36" s="16">
        <v>3588</v>
      </c>
      <c r="W36" s="14">
        <v>236</v>
      </c>
      <c r="X36" s="19">
        <v>0</v>
      </c>
      <c r="Y36" s="16">
        <v>93.83</v>
      </c>
      <c r="Z36" s="14">
        <v>6.17</v>
      </c>
      <c r="AA36" s="15">
        <v>0</v>
      </c>
      <c r="AB36" s="16">
        <v>257</v>
      </c>
      <c r="AC36" s="14">
        <v>3824</v>
      </c>
      <c r="AD36" s="19">
        <v>6.72</v>
      </c>
      <c r="AE36" s="16">
        <v>112</v>
      </c>
      <c r="AF36" s="14">
        <v>95</v>
      </c>
      <c r="AG36" s="14">
        <v>49</v>
      </c>
      <c r="AH36" s="19">
        <v>1</v>
      </c>
      <c r="AI36" s="16">
        <v>43.58</v>
      </c>
      <c r="AJ36" s="14">
        <v>36.96</v>
      </c>
      <c r="AK36" s="14">
        <v>19.07</v>
      </c>
      <c r="AL36" s="19">
        <v>0.39</v>
      </c>
      <c r="AM36" s="16">
        <v>2.93</v>
      </c>
      <c r="AN36" s="14">
        <v>2.48</v>
      </c>
      <c r="AO36" s="14">
        <v>1.28</v>
      </c>
      <c r="AP36" s="15">
        <v>0.03</v>
      </c>
      <c r="AQ36" s="16">
        <v>3182</v>
      </c>
      <c r="AR36" s="14">
        <v>3182</v>
      </c>
      <c r="AS36" s="15">
        <v>100</v>
      </c>
      <c r="AT36" s="16">
        <v>14517</v>
      </c>
      <c r="AU36" s="14">
        <v>0</v>
      </c>
      <c r="AV36" s="19">
        <v>0</v>
      </c>
    </row>
    <row r="37" spans="1:48" ht="15.75" x14ac:dyDescent="0.25">
      <c r="A37" s="75"/>
      <c r="B37" s="64"/>
      <c r="C37" s="14">
        <v>13</v>
      </c>
      <c r="D37" s="15" t="s">
        <v>43</v>
      </c>
      <c r="E37" s="16">
        <v>58940</v>
      </c>
      <c r="F37" s="14">
        <v>57.56</v>
      </c>
      <c r="G37" s="11">
        <f t="shared" si="2"/>
        <v>102.11</v>
      </c>
      <c r="H37" s="16">
        <v>2992</v>
      </c>
      <c r="I37" s="17">
        <v>57792</v>
      </c>
      <c r="J37" s="14">
        <f t="shared" si="3"/>
        <v>101.66</v>
      </c>
      <c r="K37" s="18">
        <v>57792</v>
      </c>
      <c r="L37" s="16">
        <v>0</v>
      </c>
      <c r="M37" s="14">
        <v>0</v>
      </c>
      <c r="N37" s="14">
        <v>57556</v>
      </c>
      <c r="O37" s="14">
        <v>0</v>
      </c>
      <c r="P37" s="19">
        <v>236</v>
      </c>
      <c r="Q37" s="16">
        <v>0</v>
      </c>
      <c r="R37" s="14">
        <v>0</v>
      </c>
      <c r="S37" s="14">
        <v>99.59</v>
      </c>
      <c r="T37" s="14">
        <v>0</v>
      </c>
      <c r="U37" s="15">
        <v>0.41</v>
      </c>
      <c r="V37" s="16">
        <v>57556</v>
      </c>
      <c r="W37" s="14">
        <v>236</v>
      </c>
      <c r="X37" s="19">
        <v>0</v>
      </c>
      <c r="Y37" s="16">
        <v>99.59</v>
      </c>
      <c r="Z37" s="14">
        <v>0.41</v>
      </c>
      <c r="AA37" s="15">
        <v>0</v>
      </c>
      <c r="AB37" s="16">
        <v>236</v>
      </c>
      <c r="AC37" s="14">
        <v>57792</v>
      </c>
      <c r="AD37" s="19">
        <v>0.41</v>
      </c>
      <c r="AE37" s="16">
        <v>112</v>
      </c>
      <c r="AF37" s="14">
        <v>95</v>
      </c>
      <c r="AG37" s="14">
        <v>28</v>
      </c>
      <c r="AH37" s="19">
        <v>1</v>
      </c>
      <c r="AI37" s="16">
        <v>47.46</v>
      </c>
      <c r="AJ37" s="14">
        <v>40.25</v>
      </c>
      <c r="AK37" s="14">
        <v>11.86</v>
      </c>
      <c r="AL37" s="19">
        <v>0.42</v>
      </c>
      <c r="AM37" s="16">
        <v>0.19</v>
      </c>
      <c r="AN37" s="14">
        <v>0.16</v>
      </c>
      <c r="AO37" s="14">
        <v>0.05</v>
      </c>
      <c r="AP37" s="15">
        <v>0</v>
      </c>
      <c r="AQ37" s="16">
        <v>57329</v>
      </c>
      <c r="AR37" s="14">
        <v>57329</v>
      </c>
      <c r="AS37" s="15">
        <v>100</v>
      </c>
      <c r="AT37" s="16">
        <v>286817</v>
      </c>
      <c r="AU37" s="14">
        <v>1</v>
      </c>
      <c r="AV37" s="19">
        <v>0</v>
      </c>
    </row>
    <row r="38" spans="1:48" ht="15.75" x14ac:dyDescent="0.25">
      <c r="A38" s="75"/>
      <c r="B38" s="64"/>
      <c r="C38" s="14">
        <v>16</v>
      </c>
      <c r="D38" s="15" t="s">
        <v>46</v>
      </c>
      <c r="E38" s="16">
        <v>40445</v>
      </c>
      <c r="F38" s="14">
        <v>39.5</v>
      </c>
      <c r="G38" s="11">
        <f t="shared" si="2"/>
        <v>105</v>
      </c>
      <c r="H38" s="16">
        <v>16</v>
      </c>
      <c r="I38" s="17">
        <v>1056</v>
      </c>
      <c r="J38" s="14">
        <f t="shared" si="3"/>
        <v>942.86</v>
      </c>
      <c r="K38" s="18">
        <v>1072</v>
      </c>
      <c r="L38" s="16">
        <v>0</v>
      </c>
      <c r="M38" s="14">
        <v>0</v>
      </c>
      <c r="N38" s="14">
        <v>820</v>
      </c>
      <c r="O38" s="14">
        <v>0</v>
      </c>
      <c r="P38" s="19">
        <v>236</v>
      </c>
      <c r="Q38" s="16">
        <v>0</v>
      </c>
      <c r="R38" s="14">
        <v>0</v>
      </c>
      <c r="S38" s="14">
        <v>77.650000000000006</v>
      </c>
      <c r="T38" s="14">
        <v>0</v>
      </c>
      <c r="U38" s="15">
        <v>22.35</v>
      </c>
      <c r="V38" s="16">
        <v>820</v>
      </c>
      <c r="W38" s="14">
        <v>236</v>
      </c>
      <c r="X38" s="19">
        <v>0</v>
      </c>
      <c r="Y38" s="16">
        <v>77.650000000000006</v>
      </c>
      <c r="Z38" s="14">
        <v>22.35</v>
      </c>
      <c r="AA38" s="15">
        <v>0</v>
      </c>
      <c r="AB38" s="16">
        <v>237</v>
      </c>
      <c r="AC38" s="14">
        <v>1056</v>
      </c>
      <c r="AD38" s="19">
        <v>22.44</v>
      </c>
      <c r="AE38" s="16">
        <v>112</v>
      </c>
      <c r="AF38" s="14">
        <v>96</v>
      </c>
      <c r="AG38" s="14">
        <v>28</v>
      </c>
      <c r="AH38" s="19">
        <v>1</v>
      </c>
      <c r="AI38" s="16">
        <v>47.26</v>
      </c>
      <c r="AJ38" s="14">
        <v>40.51</v>
      </c>
      <c r="AK38" s="14">
        <v>11.81</v>
      </c>
      <c r="AL38" s="19">
        <v>0.42</v>
      </c>
      <c r="AM38" s="16">
        <v>10.61</v>
      </c>
      <c r="AN38" s="14">
        <v>9.09</v>
      </c>
      <c r="AO38" s="14">
        <v>2.65</v>
      </c>
      <c r="AP38" s="15">
        <v>0.09</v>
      </c>
      <c r="AQ38" s="16">
        <v>1253</v>
      </c>
      <c r="AR38" s="14">
        <v>1280</v>
      </c>
      <c r="AS38" s="15">
        <v>102.15</v>
      </c>
      <c r="AT38" s="16">
        <v>7711</v>
      </c>
      <c r="AU38" s="14">
        <v>0</v>
      </c>
      <c r="AV38" s="19">
        <v>0</v>
      </c>
    </row>
    <row r="39" spans="1:48" ht="15.75" x14ac:dyDescent="0.25">
      <c r="A39" s="75"/>
      <c r="B39" s="64"/>
      <c r="C39" s="14">
        <v>17</v>
      </c>
      <c r="D39" s="15" t="s">
        <v>47</v>
      </c>
      <c r="E39" s="16">
        <v>46896</v>
      </c>
      <c r="F39" s="14">
        <v>45.8</v>
      </c>
      <c r="G39" s="11">
        <f t="shared" si="2"/>
        <v>108.15</v>
      </c>
      <c r="H39" s="16">
        <v>113</v>
      </c>
      <c r="I39" s="17">
        <v>1157</v>
      </c>
      <c r="J39" s="14">
        <f t="shared" si="3"/>
        <v>543.19000000000005</v>
      </c>
      <c r="K39" s="18">
        <v>1103</v>
      </c>
      <c r="L39" s="16">
        <v>0</v>
      </c>
      <c r="M39" s="14">
        <v>4</v>
      </c>
      <c r="N39" s="14">
        <v>39</v>
      </c>
      <c r="O39" s="14">
        <v>878</v>
      </c>
      <c r="P39" s="19">
        <v>236</v>
      </c>
      <c r="Q39" s="16">
        <v>0</v>
      </c>
      <c r="R39" s="14">
        <v>0.35</v>
      </c>
      <c r="S39" s="14">
        <v>3.37</v>
      </c>
      <c r="T39" s="14">
        <v>75.89</v>
      </c>
      <c r="U39" s="15">
        <v>20.399999999999999</v>
      </c>
      <c r="V39" s="16">
        <v>921</v>
      </c>
      <c r="W39" s="14">
        <v>236</v>
      </c>
      <c r="X39" s="19">
        <v>0</v>
      </c>
      <c r="Y39" s="16">
        <v>79.599999999999994</v>
      </c>
      <c r="Z39" s="14">
        <v>20.399999999999999</v>
      </c>
      <c r="AA39" s="15">
        <v>0</v>
      </c>
      <c r="AB39" s="16">
        <v>287</v>
      </c>
      <c r="AC39" s="14">
        <v>1157</v>
      </c>
      <c r="AD39" s="19">
        <v>24.81</v>
      </c>
      <c r="AE39" s="16">
        <v>114</v>
      </c>
      <c r="AF39" s="14">
        <v>96</v>
      </c>
      <c r="AG39" s="14">
        <v>30</v>
      </c>
      <c r="AH39" s="19">
        <v>47</v>
      </c>
      <c r="AI39" s="16">
        <v>39.72</v>
      </c>
      <c r="AJ39" s="14">
        <v>33.450000000000003</v>
      </c>
      <c r="AK39" s="14">
        <v>10.45</v>
      </c>
      <c r="AL39" s="19">
        <v>16.38</v>
      </c>
      <c r="AM39" s="16">
        <v>9.85</v>
      </c>
      <c r="AN39" s="14">
        <v>8.3000000000000007</v>
      </c>
      <c r="AO39" s="14">
        <v>2.59</v>
      </c>
      <c r="AP39" s="15">
        <v>4.0599999999999996</v>
      </c>
      <c r="AQ39" s="16">
        <v>1315</v>
      </c>
      <c r="AR39" s="14">
        <v>1353</v>
      </c>
      <c r="AS39" s="15">
        <v>102.89</v>
      </c>
      <c r="AT39" s="16">
        <v>7128</v>
      </c>
      <c r="AU39" s="14">
        <v>13</v>
      </c>
      <c r="AV39" s="19">
        <v>0.18</v>
      </c>
    </row>
    <row r="40" spans="1:48" ht="15.75" x14ac:dyDescent="0.25">
      <c r="A40" s="75"/>
      <c r="B40" s="64"/>
      <c r="C40" s="14">
        <v>20</v>
      </c>
      <c r="D40" s="15" t="s">
        <v>50</v>
      </c>
      <c r="E40" s="16">
        <v>406067</v>
      </c>
      <c r="F40" s="14">
        <v>396.55</v>
      </c>
      <c r="G40" s="11">
        <f t="shared" si="2"/>
        <v>100.46</v>
      </c>
      <c r="H40" s="16">
        <v>1860</v>
      </c>
      <c r="I40" s="17">
        <v>49304</v>
      </c>
      <c r="J40" s="14">
        <f t="shared" si="3"/>
        <v>101.95</v>
      </c>
      <c r="K40" s="18">
        <v>50787</v>
      </c>
      <c r="L40" s="16">
        <v>0</v>
      </c>
      <c r="M40" s="14">
        <v>0</v>
      </c>
      <c r="N40" s="14">
        <v>49068</v>
      </c>
      <c r="O40" s="14">
        <v>0</v>
      </c>
      <c r="P40" s="19">
        <v>236</v>
      </c>
      <c r="Q40" s="16">
        <v>0</v>
      </c>
      <c r="R40" s="14">
        <v>0</v>
      </c>
      <c r="S40" s="14">
        <v>99.52</v>
      </c>
      <c r="T40" s="14">
        <v>0</v>
      </c>
      <c r="U40" s="15">
        <v>0.48</v>
      </c>
      <c r="V40" s="16">
        <v>49068</v>
      </c>
      <c r="W40" s="14">
        <v>236</v>
      </c>
      <c r="X40" s="19">
        <v>0</v>
      </c>
      <c r="Y40" s="16">
        <v>99.52</v>
      </c>
      <c r="Z40" s="14">
        <v>0.48</v>
      </c>
      <c r="AA40" s="15">
        <v>0</v>
      </c>
      <c r="AB40" s="16">
        <v>239</v>
      </c>
      <c r="AC40" s="14">
        <v>49304</v>
      </c>
      <c r="AD40" s="19">
        <v>0.48</v>
      </c>
      <c r="AE40" s="16">
        <v>113</v>
      </c>
      <c r="AF40" s="14">
        <v>96</v>
      </c>
      <c r="AG40" s="14">
        <v>29</v>
      </c>
      <c r="AH40" s="19">
        <v>1</v>
      </c>
      <c r="AI40" s="16">
        <v>47.28</v>
      </c>
      <c r="AJ40" s="14">
        <v>40.17</v>
      </c>
      <c r="AK40" s="14">
        <v>12.13</v>
      </c>
      <c r="AL40" s="19">
        <v>0.42</v>
      </c>
      <c r="AM40" s="16">
        <v>0.23</v>
      </c>
      <c r="AN40" s="14">
        <v>0.19</v>
      </c>
      <c r="AO40" s="14">
        <v>0.06</v>
      </c>
      <c r="AP40" s="15">
        <v>0</v>
      </c>
      <c r="AQ40" s="16">
        <v>153406</v>
      </c>
      <c r="AR40" s="14">
        <v>155441</v>
      </c>
      <c r="AS40" s="15">
        <v>101.33</v>
      </c>
      <c r="AT40" s="16">
        <v>1340172</v>
      </c>
      <c r="AU40" s="14">
        <v>604</v>
      </c>
      <c r="AV40" s="19">
        <v>0.05</v>
      </c>
    </row>
    <row r="41" spans="1:48" ht="16.5" thickBot="1" x14ac:dyDescent="0.3">
      <c r="A41" s="75"/>
      <c r="B41" s="65"/>
      <c r="C41" s="20">
        <v>21</v>
      </c>
      <c r="D41" s="21" t="s">
        <v>51</v>
      </c>
      <c r="E41" s="42">
        <v>16851</v>
      </c>
      <c r="F41" s="20">
        <v>16.46</v>
      </c>
      <c r="G41" s="11">
        <f t="shared" si="2"/>
        <v>96.26</v>
      </c>
      <c r="H41" s="22">
        <v>17</v>
      </c>
      <c r="I41" s="24">
        <v>971</v>
      </c>
      <c r="J41" s="20">
        <f t="shared" si="3"/>
        <v>3596.3</v>
      </c>
      <c r="K41" s="25">
        <v>970</v>
      </c>
      <c r="L41" s="22">
        <v>2</v>
      </c>
      <c r="M41" s="20">
        <v>0</v>
      </c>
      <c r="N41" s="20">
        <v>733</v>
      </c>
      <c r="O41" s="20">
        <v>0</v>
      </c>
      <c r="P41" s="27">
        <v>236</v>
      </c>
      <c r="Q41" s="22">
        <v>0.21</v>
      </c>
      <c r="R41" s="20">
        <v>0</v>
      </c>
      <c r="S41" s="20">
        <v>75.489999999999995</v>
      </c>
      <c r="T41" s="20">
        <v>0</v>
      </c>
      <c r="U41" s="21">
        <v>24.3</v>
      </c>
      <c r="V41" s="22">
        <v>735</v>
      </c>
      <c r="W41" s="20">
        <v>236</v>
      </c>
      <c r="X41" s="27">
        <v>0</v>
      </c>
      <c r="Y41" s="22">
        <v>75.7</v>
      </c>
      <c r="Z41" s="20">
        <v>24.3</v>
      </c>
      <c r="AA41" s="21">
        <v>0</v>
      </c>
      <c r="AB41" s="22">
        <v>244</v>
      </c>
      <c r="AC41" s="20">
        <v>971</v>
      </c>
      <c r="AD41" s="27">
        <v>25.13</v>
      </c>
      <c r="AE41" s="22">
        <v>112</v>
      </c>
      <c r="AF41" s="20">
        <v>102</v>
      </c>
      <c r="AG41" s="20">
        <v>28</v>
      </c>
      <c r="AH41" s="27">
        <v>2</v>
      </c>
      <c r="AI41" s="22">
        <v>45.9</v>
      </c>
      <c r="AJ41" s="20">
        <v>41.8</v>
      </c>
      <c r="AK41" s="20">
        <v>11.48</v>
      </c>
      <c r="AL41" s="27">
        <v>0.82</v>
      </c>
      <c r="AM41" s="22">
        <v>11.53</v>
      </c>
      <c r="AN41" s="20">
        <v>10.5</v>
      </c>
      <c r="AO41" s="20">
        <v>2.88</v>
      </c>
      <c r="AP41" s="21">
        <v>0.21</v>
      </c>
      <c r="AQ41" s="22">
        <v>1582</v>
      </c>
      <c r="AR41" s="20">
        <v>1567</v>
      </c>
      <c r="AS41" s="21">
        <v>99.05</v>
      </c>
      <c r="AT41" s="22">
        <v>8347</v>
      </c>
      <c r="AU41" s="20">
        <v>0</v>
      </c>
      <c r="AV41" s="27">
        <v>0</v>
      </c>
    </row>
    <row r="42" spans="1:48" ht="16.5" thickBot="1" x14ac:dyDescent="0.3">
      <c r="A42" s="28"/>
      <c r="B42" s="29"/>
      <c r="C42" s="34"/>
      <c r="D42" s="31"/>
      <c r="E42" s="36"/>
      <c r="F42" s="34"/>
      <c r="G42" s="31"/>
      <c r="H42" s="36"/>
      <c r="I42" s="30"/>
      <c r="J42" s="34"/>
      <c r="K42" s="29"/>
      <c r="L42" s="33"/>
      <c r="M42" s="34"/>
      <c r="N42" s="34"/>
      <c r="O42" s="34"/>
      <c r="P42" s="35"/>
      <c r="Q42" s="36"/>
      <c r="R42" s="34"/>
      <c r="S42" s="34"/>
      <c r="T42" s="34"/>
      <c r="U42" s="31"/>
      <c r="V42" s="36"/>
      <c r="W42" s="34"/>
      <c r="X42" s="35"/>
      <c r="Y42" s="36"/>
      <c r="Z42" s="34"/>
      <c r="AA42" s="31"/>
      <c r="AB42" s="36"/>
      <c r="AC42" s="34"/>
      <c r="AD42" s="35"/>
      <c r="AE42" s="36"/>
      <c r="AF42" s="34"/>
      <c r="AG42" s="34"/>
      <c r="AH42" s="35"/>
      <c r="AI42" s="36"/>
      <c r="AJ42" s="34"/>
      <c r="AK42" s="34"/>
      <c r="AL42" s="35"/>
      <c r="AM42" s="36"/>
      <c r="AN42" s="34"/>
      <c r="AO42" s="34"/>
      <c r="AP42" s="31"/>
      <c r="AQ42" s="36"/>
      <c r="AR42" s="34"/>
      <c r="AS42" s="31"/>
      <c r="AT42" s="36"/>
      <c r="AU42" s="34"/>
      <c r="AV42" s="35"/>
    </row>
    <row r="43" spans="1:48" ht="15.75" x14ac:dyDescent="0.25">
      <c r="A43" s="75" t="s">
        <v>53</v>
      </c>
      <c r="B43" s="66">
        <v>19</v>
      </c>
      <c r="C43" s="10">
        <v>1</v>
      </c>
      <c r="D43" s="11" t="s">
        <v>31</v>
      </c>
      <c r="E43" s="9">
        <v>518444</v>
      </c>
      <c r="F43" s="10">
        <v>506.29</v>
      </c>
      <c r="G43" s="11">
        <f>ROUND( F43 / _xlfn.XLOOKUP(D43, $D$4:$D$24, $F$4:$F$24) * 100, 2 )</f>
        <v>100.3</v>
      </c>
      <c r="H43" s="9">
        <v>82</v>
      </c>
      <c r="I43" s="39">
        <v>471</v>
      </c>
      <c r="J43" s="10">
        <f>ROUND( I43 / _xlfn.XLOOKUP(D43, $D$4:$D$24, $I$4:$I$24) * 100, 2 )</f>
        <v>176.4</v>
      </c>
      <c r="K43" s="40">
        <v>423</v>
      </c>
      <c r="L43" s="9">
        <v>0</v>
      </c>
      <c r="M43" s="10">
        <v>18</v>
      </c>
      <c r="N43" s="10">
        <v>436</v>
      </c>
      <c r="O43" s="10">
        <v>17</v>
      </c>
      <c r="P43" s="13">
        <v>0</v>
      </c>
      <c r="Q43" s="9">
        <v>0</v>
      </c>
      <c r="R43" s="10">
        <v>3.82</v>
      </c>
      <c r="S43" s="10">
        <v>92.57</v>
      </c>
      <c r="T43" s="10">
        <v>3.61</v>
      </c>
      <c r="U43" s="11">
        <v>0</v>
      </c>
      <c r="V43" s="9">
        <v>266</v>
      </c>
      <c r="W43" s="10">
        <v>0</v>
      </c>
      <c r="X43" s="13">
        <v>205</v>
      </c>
      <c r="Y43" s="9">
        <v>56.48</v>
      </c>
      <c r="Z43" s="10">
        <v>0</v>
      </c>
      <c r="AA43" s="11">
        <v>43.52</v>
      </c>
      <c r="AB43" s="9">
        <v>226</v>
      </c>
      <c r="AC43" s="10">
        <v>471</v>
      </c>
      <c r="AD43" s="13">
        <v>47.98</v>
      </c>
      <c r="AE43" s="9">
        <v>2</v>
      </c>
      <c r="AF43" s="10">
        <v>171</v>
      </c>
      <c r="AG43" s="10">
        <v>0</v>
      </c>
      <c r="AH43" s="13">
        <v>53</v>
      </c>
      <c r="AI43" s="9">
        <v>0.88</v>
      </c>
      <c r="AJ43" s="10">
        <v>75.66</v>
      </c>
      <c r="AK43" s="10">
        <v>0</v>
      </c>
      <c r="AL43" s="13">
        <v>23.45</v>
      </c>
      <c r="AM43" s="9">
        <v>0.42</v>
      </c>
      <c r="AN43" s="10">
        <v>36.31</v>
      </c>
      <c r="AO43" s="10">
        <v>0</v>
      </c>
      <c r="AP43" s="11">
        <v>11.25</v>
      </c>
      <c r="AQ43" s="9">
        <v>2058</v>
      </c>
      <c r="AR43" s="10">
        <v>2023</v>
      </c>
      <c r="AS43" s="11">
        <v>98.3</v>
      </c>
      <c r="AT43" s="9">
        <v>13494</v>
      </c>
      <c r="AU43" s="10">
        <v>11</v>
      </c>
      <c r="AV43" s="13">
        <v>0.08</v>
      </c>
    </row>
    <row r="44" spans="1:48" ht="15.75" x14ac:dyDescent="0.25">
      <c r="A44" s="75"/>
      <c r="B44" s="64"/>
      <c r="C44" s="14">
        <v>2</v>
      </c>
      <c r="D44" s="15" t="s">
        <v>32</v>
      </c>
      <c r="E44" s="16">
        <v>38779</v>
      </c>
      <c r="F44" s="14">
        <v>37.869999999999997</v>
      </c>
      <c r="G44" s="11">
        <f t="shared" ref="G44:G60" si="4">ROUND( F44 / _xlfn.XLOOKUP(D44, $D$4:$D$24, $F$4:$F$24) * 100, 2 )</f>
        <v>102.85</v>
      </c>
      <c r="H44" s="16">
        <v>9</v>
      </c>
      <c r="I44" s="17">
        <v>224</v>
      </c>
      <c r="J44" s="14">
        <f t="shared" ref="J44:J60" si="5">ROUND( I44 / _xlfn.XLOOKUP(D44, $D$4:$D$24, $I$4:$I$24) * 100, 2 )</f>
        <v>2036.36</v>
      </c>
      <c r="K44" s="18">
        <v>224</v>
      </c>
      <c r="L44" s="16">
        <v>0</v>
      </c>
      <c r="M44" s="14">
        <v>1</v>
      </c>
      <c r="N44" s="14">
        <v>0</v>
      </c>
      <c r="O44" s="14">
        <v>223</v>
      </c>
      <c r="P44" s="19">
        <v>0</v>
      </c>
      <c r="Q44" s="16">
        <v>0</v>
      </c>
      <c r="R44" s="14">
        <v>0.45</v>
      </c>
      <c r="S44" s="14">
        <v>0</v>
      </c>
      <c r="T44" s="14">
        <v>99.55</v>
      </c>
      <c r="U44" s="15">
        <v>0</v>
      </c>
      <c r="V44" s="16">
        <v>48</v>
      </c>
      <c r="W44" s="14">
        <v>0</v>
      </c>
      <c r="X44" s="19">
        <v>176</v>
      </c>
      <c r="Y44" s="16">
        <v>21.43</v>
      </c>
      <c r="Z44" s="14">
        <v>0</v>
      </c>
      <c r="AA44" s="15">
        <v>78.569999999999993</v>
      </c>
      <c r="AB44" s="16">
        <v>176</v>
      </c>
      <c r="AC44" s="14">
        <v>224</v>
      </c>
      <c r="AD44" s="19">
        <v>78.569999999999993</v>
      </c>
      <c r="AE44" s="16">
        <v>8</v>
      </c>
      <c r="AF44" s="14">
        <v>164</v>
      </c>
      <c r="AG44" s="14">
        <v>0</v>
      </c>
      <c r="AH44" s="19">
        <v>4</v>
      </c>
      <c r="AI44" s="16">
        <v>4.55</v>
      </c>
      <c r="AJ44" s="14">
        <v>93.18</v>
      </c>
      <c r="AK44" s="14">
        <v>0</v>
      </c>
      <c r="AL44" s="19">
        <v>2.27</v>
      </c>
      <c r="AM44" s="16">
        <v>3.57</v>
      </c>
      <c r="AN44" s="14">
        <v>73.209999999999994</v>
      </c>
      <c r="AO44" s="14">
        <v>0</v>
      </c>
      <c r="AP44" s="15">
        <v>1.79</v>
      </c>
      <c r="AQ44" s="16">
        <v>133</v>
      </c>
      <c r="AR44" s="14">
        <v>133</v>
      </c>
      <c r="AS44" s="15">
        <v>100</v>
      </c>
      <c r="AT44" s="16">
        <v>832</v>
      </c>
      <c r="AU44" s="14">
        <v>0</v>
      </c>
      <c r="AV44" s="19">
        <v>0</v>
      </c>
    </row>
    <row r="45" spans="1:48" ht="15.75" x14ac:dyDescent="0.25">
      <c r="A45" s="75"/>
      <c r="B45" s="64"/>
      <c r="C45" s="14">
        <v>3</v>
      </c>
      <c r="D45" s="15" t="s">
        <v>33</v>
      </c>
      <c r="E45" s="16">
        <v>46212</v>
      </c>
      <c r="F45" s="14">
        <v>45.13</v>
      </c>
      <c r="G45" s="11">
        <f t="shared" si="4"/>
        <v>103.15</v>
      </c>
      <c r="H45" s="16">
        <v>49</v>
      </c>
      <c r="I45" s="17">
        <v>407</v>
      </c>
      <c r="J45" s="14">
        <f t="shared" si="5"/>
        <v>205.56</v>
      </c>
      <c r="K45" s="18">
        <v>341</v>
      </c>
      <c r="L45" s="16">
        <v>0</v>
      </c>
      <c r="M45" s="14">
        <v>0</v>
      </c>
      <c r="N45" s="14">
        <v>66</v>
      </c>
      <c r="O45" s="14">
        <v>341</v>
      </c>
      <c r="P45" s="19">
        <v>0</v>
      </c>
      <c r="Q45" s="16">
        <v>0</v>
      </c>
      <c r="R45" s="14">
        <v>0</v>
      </c>
      <c r="S45" s="14">
        <v>16.22</v>
      </c>
      <c r="T45" s="14">
        <v>83.78</v>
      </c>
      <c r="U45" s="15">
        <v>0</v>
      </c>
      <c r="V45" s="16">
        <v>231</v>
      </c>
      <c r="W45" s="14">
        <v>0</v>
      </c>
      <c r="X45" s="19">
        <v>176</v>
      </c>
      <c r="Y45" s="16">
        <v>56.76</v>
      </c>
      <c r="Z45" s="14">
        <v>0</v>
      </c>
      <c r="AA45" s="15">
        <v>43.24</v>
      </c>
      <c r="AB45" s="16">
        <v>242</v>
      </c>
      <c r="AC45" s="14">
        <v>407</v>
      </c>
      <c r="AD45" s="19">
        <v>59.46</v>
      </c>
      <c r="AE45" s="16">
        <v>15</v>
      </c>
      <c r="AF45" s="14">
        <v>106</v>
      </c>
      <c r="AG45" s="14">
        <v>31</v>
      </c>
      <c r="AH45" s="19">
        <v>90</v>
      </c>
      <c r="AI45" s="16">
        <v>6.2</v>
      </c>
      <c r="AJ45" s="14">
        <v>43.8</v>
      </c>
      <c r="AK45" s="14">
        <v>12.81</v>
      </c>
      <c r="AL45" s="19">
        <v>37.19</v>
      </c>
      <c r="AM45" s="16">
        <v>3.69</v>
      </c>
      <c r="AN45" s="14">
        <v>26.04</v>
      </c>
      <c r="AO45" s="14">
        <v>7.62</v>
      </c>
      <c r="AP45" s="15">
        <v>22.11</v>
      </c>
      <c r="AQ45" s="16">
        <v>746</v>
      </c>
      <c r="AR45" s="14">
        <v>831</v>
      </c>
      <c r="AS45" s="15">
        <v>111.39</v>
      </c>
      <c r="AT45" s="16">
        <v>5090</v>
      </c>
      <c r="AU45" s="14">
        <v>15</v>
      </c>
      <c r="AV45" s="19">
        <v>0.28999999999999998</v>
      </c>
    </row>
    <row r="46" spans="1:48" ht="15.75" x14ac:dyDescent="0.25">
      <c r="A46" s="75"/>
      <c r="B46" s="64"/>
      <c r="C46" s="14">
        <v>4</v>
      </c>
      <c r="D46" s="15" t="s">
        <v>34</v>
      </c>
      <c r="E46" s="16">
        <v>2624609</v>
      </c>
      <c r="F46" s="14">
        <v>2563.09</v>
      </c>
      <c r="G46" s="11">
        <f t="shared" si="4"/>
        <v>100.05</v>
      </c>
      <c r="H46" s="16">
        <v>313</v>
      </c>
      <c r="I46" s="17">
        <v>941</v>
      </c>
      <c r="J46" s="14">
        <f t="shared" si="5"/>
        <v>127.85</v>
      </c>
      <c r="K46" s="18">
        <v>857</v>
      </c>
      <c r="L46" s="16">
        <v>0</v>
      </c>
      <c r="M46" s="14">
        <v>798</v>
      </c>
      <c r="N46" s="14">
        <v>112</v>
      </c>
      <c r="O46" s="14">
        <v>31</v>
      </c>
      <c r="P46" s="19">
        <v>0</v>
      </c>
      <c r="Q46" s="16">
        <v>0</v>
      </c>
      <c r="R46" s="14">
        <v>84.8</v>
      </c>
      <c r="S46" s="14">
        <v>11.9</v>
      </c>
      <c r="T46" s="14">
        <v>3.29</v>
      </c>
      <c r="U46" s="15">
        <v>0</v>
      </c>
      <c r="V46" s="16">
        <v>765</v>
      </c>
      <c r="W46" s="14">
        <v>0</v>
      </c>
      <c r="X46" s="19">
        <v>176</v>
      </c>
      <c r="Y46" s="16">
        <v>81.3</v>
      </c>
      <c r="Z46" s="14">
        <v>0</v>
      </c>
      <c r="AA46" s="15">
        <v>18.7</v>
      </c>
      <c r="AB46" s="16">
        <v>231</v>
      </c>
      <c r="AC46" s="14">
        <v>941</v>
      </c>
      <c r="AD46" s="19">
        <v>24.55</v>
      </c>
      <c r="AE46" s="16">
        <v>4</v>
      </c>
      <c r="AF46" s="14">
        <v>164</v>
      </c>
      <c r="AG46" s="14">
        <v>24</v>
      </c>
      <c r="AH46" s="19">
        <v>39</v>
      </c>
      <c r="AI46" s="16">
        <v>1.73</v>
      </c>
      <c r="AJ46" s="14">
        <v>71</v>
      </c>
      <c r="AK46" s="14">
        <v>10.39</v>
      </c>
      <c r="AL46" s="19">
        <v>16.88</v>
      </c>
      <c r="AM46" s="16">
        <v>0.43</v>
      </c>
      <c r="AN46" s="14">
        <v>17.43</v>
      </c>
      <c r="AO46" s="14">
        <v>2.5499999999999998</v>
      </c>
      <c r="AP46" s="15">
        <v>4.1399999999999997</v>
      </c>
      <c r="AQ46" s="16">
        <v>5532</v>
      </c>
      <c r="AR46" s="14">
        <v>5694</v>
      </c>
      <c r="AS46" s="15">
        <v>102.93</v>
      </c>
      <c r="AT46" s="16">
        <v>36901</v>
      </c>
      <c r="AU46" s="14">
        <v>33</v>
      </c>
      <c r="AV46" s="19">
        <v>0.09</v>
      </c>
    </row>
    <row r="47" spans="1:48" ht="15.75" x14ac:dyDescent="0.25">
      <c r="A47" s="75"/>
      <c r="B47" s="64"/>
      <c r="C47" s="14">
        <v>5</v>
      </c>
      <c r="D47" s="15" t="s">
        <v>35</v>
      </c>
      <c r="E47" s="16">
        <v>40980</v>
      </c>
      <c r="F47" s="14">
        <v>40.020000000000003</v>
      </c>
      <c r="G47" s="11">
        <f t="shared" si="4"/>
        <v>102.8</v>
      </c>
      <c r="H47" s="16">
        <v>33</v>
      </c>
      <c r="I47" s="17">
        <v>288</v>
      </c>
      <c r="J47" s="14">
        <f t="shared" si="5"/>
        <v>360</v>
      </c>
      <c r="K47" s="18">
        <v>272</v>
      </c>
      <c r="L47" s="16">
        <v>0</v>
      </c>
      <c r="M47" s="14">
        <v>272</v>
      </c>
      <c r="N47" s="14">
        <v>16</v>
      </c>
      <c r="O47" s="14">
        <v>0</v>
      </c>
      <c r="P47" s="19">
        <v>0</v>
      </c>
      <c r="Q47" s="16">
        <v>0</v>
      </c>
      <c r="R47" s="14">
        <v>94.44</v>
      </c>
      <c r="S47" s="14">
        <v>5.56</v>
      </c>
      <c r="T47" s="14">
        <v>0</v>
      </c>
      <c r="U47" s="15">
        <v>0</v>
      </c>
      <c r="V47" s="16">
        <v>112</v>
      </c>
      <c r="W47" s="14">
        <v>0</v>
      </c>
      <c r="X47" s="19">
        <v>176</v>
      </c>
      <c r="Y47" s="16">
        <v>38.89</v>
      </c>
      <c r="Z47" s="14">
        <v>0</v>
      </c>
      <c r="AA47" s="15">
        <v>61.11</v>
      </c>
      <c r="AB47" s="16">
        <v>192</v>
      </c>
      <c r="AC47" s="14">
        <v>288</v>
      </c>
      <c r="AD47" s="19">
        <v>66.67</v>
      </c>
      <c r="AE47" s="16">
        <v>33</v>
      </c>
      <c r="AF47" s="14">
        <v>110</v>
      </c>
      <c r="AG47" s="14">
        <v>17</v>
      </c>
      <c r="AH47" s="19">
        <v>32</v>
      </c>
      <c r="AI47" s="16">
        <v>17.190000000000001</v>
      </c>
      <c r="AJ47" s="14">
        <v>57.29</v>
      </c>
      <c r="AK47" s="14">
        <v>8.85</v>
      </c>
      <c r="AL47" s="19">
        <v>16.670000000000002</v>
      </c>
      <c r="AM47" s="16">
        <v>11.46</v>
      </c>
      <c r="AN47" s="14">
        <v>38.19</v>
      </c>
      <c r="AO47" s="14">
        <v>5.9</v>
      </c>
      <c r="AP47" s="15">
        <v>11.11</v>
      </c>
      <c r="AQ47" s="16">
        <v>473</v>
      </c>
      <c r="AR47" s="14">
        <v>1543</v>
      </c>
      <c r="AS47" s="15">
        <v>326.22000000000003</v>
      </c>
      <c r="AT47" s="16">
        <v>4016</v>
      </c>
      <c r="AU47" s="14">
        <v>0</v>
      </c>
      <c r="AV47" s="19">
        <v>0</v>
      </c>
    </row>
    <row r="48" spans="1:48" ht="15.75" x14ac:dyDescent="0.25">
      <c r="A48" s="75"/>
      <c r="B48" s="64"/>
      <c r="C48" s="14">
        <v>6</v>
      </c>
      <c r="D48" s="15" t="s">
        <v>36</v>
      </c>
      <c r="E48" s="16">
        <v>40969</v>
      </c>
      <c r="F48" s="14">
        <v>40.01</v>
      </c>
      <c r="G48" s="11">
        <f t="shared" si="4"/>
        <v>102.46</v>
      </c>
      <c r="H48" s="16">
        <v>77</v>
      </c>
      <c r="I48" s="17">
        <v>300</v>
      </c>
      <c r="J48" s="14">
        <f t="shared" si="5"/>
        <v>319.14999999999998</v>
      </c>
      <c r="K48" s="18">
        <v>296</v>
      </c>
      <c r="L48" s="16">
        <v>0</v>
      </c>
      <c r="M48" s="14">
        <v>0</v>
      </c>
      <c r="N48" s="14">
        <v>286</v>
      </c>
      <c r="O48" s="14">
        <v>14</v>
      </c>
      <c r="P48" s="19">
        <v>0</v>
      </c>
      <c r="Q48" s="16">
        <v>0</v>
      </c>
      <c r="R48" s="14">
        <v>0</v>
      </c>
      <c r="S48" s="14">
        <v>95.33</v>
      </c>
      <c r="T48" s="14">
        <v>4.67</v>
      </c>
      <c r="U48" s="15">
        <v>0</v>
      </c>
      <c r="V48" s="16">
        <v>124</v>
      </c>
      <c r="W48" s="14">
        <v>0</v>
      </c>
      <c r="X48" s="19">
        <v>176</v>
      </c>
      <c r="Y48" s="16">
        <v>41.33</v>
      </c>
      <c r="Z48" s="14">
        <v>0</v>
      </c>
      <c r="AA48" s="15">
        <v>58.67</v>
      </c>
      <c r="AB48" s="16">
        <v>183</v>
      </c>
      <c r="AC48" s="14">
        <v>300</v>
      </c>
      <c r="AD48" s="19">
        <v>61</v>
      </c>
      <c r="AE48" s="16">
        <v>9</v>
      </c>
      <c r="AF48" s="14">
        <v>161</v>
      </c>
      <c r="AG48" s="14">
        <v>4</v>
      </c>
      <c r="AH48" s="19">
        <v>9</v>
      </c>
      <c r="AI48" s="16">
        <v>4.92</v>
      </c>
      <c r="AJ48" s="14">
        <v>87.98</v>
      </c>
      <c r="AK48" s="14">
        <v>2.19</v>
      </c>
      <c r="AL48" s="19">
        <v>4.92</v>
      </c>
      <c r="AM48" s="16">
        <v>3</v>
      </c>
      <c r="AN48" s="14">
        <v>53.67</v>
      </c>
      <c r="AO48" s="14">
        <v>1.33</v>
      </c>
      <c r="AP48" s="15">
        <v>3</v>
      </c>
      <c r="AQ48" s="16">
        <v>725</v>
      </c>
      <c r="AR48" s="14">
        <v>688</v>
      </c>
      <c r="AS48" s="15">
        <v>94.9</v>
      </c>
      <c r="AT48" s="16">
        <v>4376</v>
      </c>
      <c r="AU48" s="14">
        <v>5</v>
      </c>
      <c r="AV48" s="19">
        <v>0.11</v>
      </c>
    </row>
    <row r="49" spans="1:48" ht="15.75" x14ac:dyDescent="0.25">
      <c r="A49" s="75"/>
      <c r="B49" s="64"/>
      <c r="C49" s="14">
        <v>7</v>
      </c>
      <c r="D49" s="15" t="s">
        <v>37</v>
      </c>
      <c r="E49" s="16">
        <v>43644</v>
      </c>
      <c r="F49" s="14">
        <v>42.62</v>
      </c>
      <c r="G49" s="11">
        <f t="shared" si="4"/>
        <v>102.7</v>
      </c>
      <c r="H49" s="16">
        <v>55</v>
      </c>
      <c r="I49" s="17">
        <v>380</v>
      </c>
      <c r="J49" s="14">
        <f t="shared" si="5"/>
        <v>217.14</v>
      </c>
      <c r="K49" s="18">
        <v>368</v>
      </c>
      <c r="L49" s="16">
        <v>0</v>
      </c>
      <c r="M49" s="14">
        <v>356</v>
      </c>
      <c r="N49" s="14">
        <v>22</v>
      </c>
      <c r="O49" s="14">
        <v>2</v>
      </c>
      <c r="P49" s="19">
        <v>0</v>
      </c>
      <c r="Q49" s="16">
        <v>0</v>
      </c>
      <c r="R49" s="14">
        <v>93.68</v>
      </c>
      <c r="S49" s="14">
        <v>5.79</v>
      </c>
      <c r="T49" s="14">
        <v>0.53</v>
      </c>
      <c r="U49" s="15">
        <v>0</v>
      </c>
      <c r="V49" s="16">
        <v>204</v>
      </c>
      <c r="W49" s="14">
        <v>0</v>
      </c>
      <c r="X49" s="19">
        <v>176</v>
      </c>
      <c r="Y49" s="16">
        <v>53.68</v>
      </c>
      <c r="Z49" s="14">
        <v>0</v>
      </c>
      <c r="AA49" s="15">
        <v>46.32</v>
      </c>
      <c r="AB49" s="16">
        <v>188</v>
      </c>
      <c r="AC49" s="14">
        <v>380</v>
      </c>
      <c r="AD49" s="19">
        <v>49.47</v>
      </c>
      <c r="AE49" s="16">
        <v>2</v>
      </c>
      <c r="AF49" s="14">
        <v>169</v>
      </c>
      <c r="AG49" s="14">
        <v>1</v>
      </c>
      <c r="AH49" s="19">
        <v>16</v>
      </c>
      <c r="AI49" s="16">
        <v>1.06</v>
      </c>
      <c r="AJ49" s="14">
        <v>89.89</v>
      </c>
      <c r="AK49" s="14">
        <v>0.53</v>
      </c>
      <c r="AL49" s="19">
        <v>8.51</v>
      </c>
      <c r="AM49" s="16">
        <v>0.53</v>
      </c>
      <c r="AN49" s="14">
        <v>44.47</v>
      </c>
      <c r="AO49" s="14">
        <v>0.26</v>
      </c>
      <c r="AP49" s="15">
        <v>4.21</v>
      </c>
      <c r="AQ49" s="16">
        <v>1617</v>
      </c>
      <c r="AR49" s="14">
        <v>1672</v>
      </c>
      <c r="AS49" s="15">
        <v>103.4</v>
      </c>
      <c r="AT49" s="16">
        <v>9886</v>
      </c>
      <c r="AU49" s="14">
        <v>41</v>
      </c>
      <c r="AV49" s="19">
        <v>0.41</v>
      </c>
    </row>
    <row r="50" spans="1:48" ht="15.75" x14ac:dyDescent="0.25">
      <c r="A50" s="75"/>
      <c r="B50" s="64"/>
      <c r="C50" s="14">
        <v>8</v>
      </c>
      <c r="D50" s="15" t="s">
        <v>38</v>
      </c>
      <c r="E50" s="16">
        <v>171287</v>
      </c>
      <c r="F50" s="14">
        <v>167.27</v>
      </c>
      <c r="G50" s="11">
        <f t="shared" si="4"/>
        <v>100.9</v>
      </c>
      <c r="H50" s="16">
        <v>37</v>
      </c>
      <c r="I50" s="17">
        <v>367</v>
      </c>
      <c r="J50" s="14">
        <f t="shared" si="5"/>
        <v>223.78</v>
      </c>
      <c r="K50" s="18">
        <v>316</v>
      </c>
      <c r="L50" s="16">
        <v>3</v>
      </c>
      <c r="M50" s="14">
        <v>19</v>
      </c>
      <c r="N50" s="14">
        <v>345</v>
      </c>
      <c r="O50" s="14">
        <v>0</v>
      </c>
      <c r="P50" s="19">
        <v>0</v>
      </c>
      <c r="Q50" s="16">
        <v>0.82</v>
      </c>
      <c r="R50" s="14">
        <v>5.18</v>
      </c>
      <c r="S50" s="14">
        <v>94.01</v>
      </c>
      <c r="T50" s="14">
        <v>0</v>
      </c>
      <c r="U50" s="15">
        <v>0</v>
      </c>
      <c r="V50" s="16">
        <v>156</v>
      </c>
      <c r="W50" s="14">
        <v>7</v>
      </c>
      <c r="X50" s="19">
        <v>204</v>
      </c>
      <c r="Y50" s="16">
        <v>42.51</v>
      </c>
      <c r="Z50" s="14">
        <v>1.91</v>
      </c>
      <c r="AA50" s="15">
        <v>55.59</v>
      </c>
      <c r="AB50" s="16">
        <v>240</v>
      </c>
      <c r="AC50" s="14">
        <v>367</v>
      </c>
      <c r="AD50" s="19">
        <v>65.400000000000006</v>
      </c>
      <c r="AE50" s="16">
        <v>7</v>
      </c>
      <c r="AF50" s="14">
        <v>159</v>
      </c>
      <c r="AG50" s="14">
        <v>0</v>
      </c>
      <c r="AH50" s="19">
        <v>74</v>
      </c>
      <c r="AI50" s="16">
        <v>2.92</v>
      </c>
      <c r="AJ50" s="14">
        <v>66.25</v>
      </c>
      <c r="AK50" s="14">
        <v>0</v>
      </c>
      <c r="AL50" s="19">
        <v>30.83</v>
      </c>
      <c r="AM50" s="16">
        <v>1.91</v>
      </c>
      <c r="AN50" s="14">
        <v>43.32</v>
      </c>
      <c r="AO50" s="14">
        <v>0</v>
      </c>
      <c r="AP50" s="15">
        <v>20.16</v>
      </c>
      <c r="AQ50" s="16">
        <v>734</v>
      </c>
      <c r="AR50" s="14">
        <v>735</v>
      </c>
      <c r="AS50" s="15">
        <v>100.14</v>
      </c>
      <c r="AT50" s="16">
        <v>4683</v>
      </c>
      <c r="AU50" s="14">
        <v>16</v>
      </c>
      <c r="AV50" s="19">
        <v>0.34</v>
      </c>
    </row>
    <row r="51" spans="1:48" ht="15.75" x14ac:dyDescent="0.25">
      <c r="A51" s="75"/>
      <c r="B51" s="64"/>
      <c r="C51" s="14">
        <v>9</v>
      </c>
      <c r="D51" s="15" t="s">
        <v>39</v>
      </c>
      <c r="E51" s="16">
        <v>10939137</v>
      </c>
      <c r="F51" s="14">
        <v>10682.75</v>
      </c>
      <c r="G51" s="11">
        <f t="shared" si="4"/>
        <v>100.01</v>
      </c>
      <c r="H51" s="16">
        <v>726</v>
      </c>
      <c r="I51" s="17">
        <v>2108</v>
      </c>
      <c r="J51" s="14">
        <f t="shared" si="5"/>
        <v>110.77</v>
      </c>
      <c r="K51" s="18">
        <v>1939</v>
      </c>
      <c r="L51" s="16">
        <v>18</v>
      </c>
      <c r="M51" s="14">
        <v>22</v>
      </c>
      <c r="N51" s="14">
        <v>1713</v>
      </c>
      <c r="O51" s="14">
        <v>355</v>
      </c>
      <c r="P51" s="19">
        <v>0</v>
      </c>
      <c r="Q51" s="16">
        <v>0.85</v>
      </c>
      <c r="R51" s="14">
        <v>1.04</v>
      </c>
      <c r="S51" s="14">
        <v>81.260000000000005</v>
      </c>
      <c r="T51" s="14">
        <v>16.84</v>
      </c>
      <c r="U51" s="15">
        <v>0</v>
      </c>
      <c r="V51" s="16">
        <v>1118</v>
      </c>
      <c r="W51" s="14">
        <v>10</v>
      </c>
      <c r="X51" s="19">
        <v>980</v>
      </c>
      <c r="Y51" s="16">
        <v>53.04</v>
      </c>
      <c r="Z51" s="14">
        <v>0.47</v>
      </c>
      <c r="AA51" s="15">
        <v>46.49</v>
      </c>
      <c r="AB51" s="16">
        <v>363</v>
      </c>
      <c r="AC51" s="14">
        <v>2108</v>
      </c>
      <c r="AD51" s="19">
        <v>17.22</v>
      </c>
      <c r="AE51" s="16">
        <v>2</v>
      </c>
      <c r="AF51" s="14">
        <v>172</v>
      </c>
      <c r="AG51" s="14">
        <v>10</v>
      </c>
      <c r="AH51" s="19">
        <v>179</v>
      </c>
      <c r="AI51" s="16">
        <v>0.55000000000000004</v>
      </c>
      <c r="AJ51" s="14">
        <v>47.38</v>
      </c>
      <c r="AK51" s="14">
        <v>2.75</v>
      </c>
      <c r="AL51" s="19">
        <v>49.31</v>
      </c>
      <c r="AM51" s="16">
        <v>0.09</v>
      </c>
      <c r="AN51" s="14">
        <v>8.16</v>
      </c>
      <c r="AO51" s="14">
        <v>0.47</v>
      </c>
      <c r="AP51" s="15">
        <v>8.49</v>
      </c>
      <c r="AQ51" s="16">
        <v>10762</v>
      </c>
      <c r="AR51" s="14">
        <v>11036</v>
      </c>
      <c r="AS51" s="15">
        <v>102.55</v>
      </c>
      <c r="AT51" s="16">
        <v>73327</v>
      </c>
      <c r="AU51" s="14">
        <v>2492</v>
      </c>
      <c r="AV51" s="19">
        <v>3.4</v>
      </c>
    </row>
    <row r="52" spans="1:48" ht="15.75" x14ac:dyDescent="0.25">
      <c r="A52" s="75"/>
      <c r="B52" s="64"/>
      <c r="C52" s="14">
        <v>10</v>
      </c>
      <c r="D52" s="15" t="s">
        <v>40</v>
      </c>
      <c r="E52" s="16">
        <v>44246</v>
      </c>
      <c r="F52" s="14">
        <v>43.21</v>
      </c>
      <c r="G52" s="11">
        <f t="shared" si="4"/>
        <v>101.84</v>
      </c>
      <c r="H52" s="16">
        <v>178</v>
      </c>
      <c r="I52" s="17">
        <v>3029</v>
      </c>
      <c r="J52" s="14">
        <f t="shared" si="5"/>
        <v>106.36</v>
      </c>
      <c r="K52" s="18">
        <v>3029</v>
      </c>
      <c r="L52" s="16">
        <v>0</v>
      </c>
      <c r="M52" s="14">
        <v>0</v>
      </c>
      <c r="N52" s="14">
        <v>3029</v>
      </c>
      <c r="O52" s="14">
        <v>0</v>
      </c>
      <c r="P52" s="19">
        <v>0</v>
      </c>
      <c r="Q52" s="16">
        <v>0</v>
      </c>
      <c r="R52" s="14">
        <v>0</v>
      </c>
      <c r="S52" s="14">
        <v>100</v>
      </c>
      <c r="T52" s="14">
        <v>0</v>
      </c>
      <c r="U52" s="15">
        <v>0</v>
      </c>
      <c r="V52" s="16">
        <v>2853</v>
      </c>
      <c r="W52" s="14">
        <v>0</v>
      </c>
      <c r="X52" s="19">
        <v>176</v>
      </c>
      <c r="Y52" s="16">
        <v>94.19</v>
      </c>
      <c r="Z52" s="14">
        <v>0</v>
      </c>
      <c r="AA52" s="15">
        <v>5.81</v>
      </c>
      <c r="AB52" s="16">
        <v>176</v>
      </c>
      <c r="AC52" s="14">
        <v>3029</v>
      </c>
      <c r="AD52" s="19">
        <v>5.81</v>
      </c>
      <c r="AE52" s="16">
        <v>4</v>
      </c>
      <c r="AF52" s="14">
        <v>35</v>
      </c>
      <c r="AG52" s="14">
        <v>102</v>
      </c>
      <c r="AH52" s="19">
        <v>35</v>
      </c>
      <c r="AI52" s="16">
        <v>2.27</v>
      </c>
      <c r="AJ52" s="14">
        <v>19.89</v>
      </c>
      <c r="AK52" s="14">
        <v>57.95</v>
      </c>
      <c r="AL52" s="19">
        <v>19.89</v>
      </c>
      <c r="AM52" s="16">
        <v>0.13</v>
      </c>
      <c r="AN52" s="14">
        <v>1.1599999999999999</v>
      </c>
      <c r="AO52" s="14">
        <v>3.37</v>
      </c>
      <c r="AP52" s="15">
        <v>1.1599999999999999</v>
      </c>
      <c r="AQ52" s="16">
        <v>3095</v>
      </c>
      <c r="AR52" s="14">
        <v>3095</v>
      </c>
      <c r="AS52" s="15">
        <v>100</v>
      </c>
      <c r="AT52" s="16">
        <v>15355</v>
      </c>
      <c r="AU52" s="14">
        <v>0</v>
      </c>
      <c r="AV52" s="19">
        <v>0</v>
      </c>
    </row>
    <row r="53" spans="1:48" ht="15.75" x14ac:dyDescent="0.25">
      <c r="A53" s="75"/>
      <c r="B53" s="64"/>
      <c r="C53" s="14">
        <v>11</v>
      </c>
      <c r="D53" s="15" t="s">
        <v>41</v>
      </c>
      <c r="E53" s="16">
        <v>52447</v>
      </c>
      <c r="F53" s="14">
        <v>51.22</v>
      </c>
      <c r="G53" s="11">
        <f t="shared" si="4"/>
        <v>101.29</v>
      </c>
      <c r="H53" s="16">
        <v>2100</v>
      </c>
      <c r="I53" s="17">
        <v>35876</v>
      </c>
      <c r="J53" s="14">
        <f t="shared" si="5"/>
        <v>100.49</v>
      </c>
      <c r="K53" s="18">
        <v>35876</v>
      </c>
      <c r="L53" s="16">
        <v>0</v>
      </c>
      <c r="M53" s="14">
        <v>0</v>
      </c>
      <c r="N53" s="14">
        <v>35876</v>
      </c>
      <c r="O53" s="14">
        <v>0</v>
      </c>
      <c r="P53" s="19">
        <v>0</v>
      </c>
      <c r="Q53" s="16">
        <v>0</v>
      </c>
      <c r="R53" s="14">
        <v>0</v>
      </c>
      <c r="S53" s="14">
        <v>100</v>
      </c>
      <c r="T53" s="14">
        <v>0</v>
      </c>
      <c r="U53" s="15">
        <v>0</v>
      </c>
      <c r="V53" s="16">
        <v>35700</v>
      </c>
      <c r="W53" s="14">
        <v>0</v>
      </c>
      <c r="X53" s="19">
        <v>176</v>
      </c>
      <c r="Y53" s="16">
        <v>99.51</v>
      </c>
      <c r="Z53" s="14">
        <v>0</v>
      </c>
      <c r="AA53" s="15">
        <v>0.49</v>
      </c>
      <c r="AB53" s="16">
        <v>176</v>
      </c>
      <c r="AC53" s="14">
        <v>35876</v>
      </c>
      <c r="AD53" s="19">
        <v>0.49</v>
      </c>
      <c r="AE53" s="16">
        <v>44</v>
      </c>
      <c r="AF53" s="14">
        <v>132</v>
      </c>
      <c r="AG53" s="14">
        <v>0</v>
      </c>
      <c r="AH53" s="19">
        <v>0</v>
      </c>
      <c r="AI53" s="16">
        <v>25</v>
      </c>
      <c r="AJ53" s="14">
        <v>75</v>
      </c>
      <c r="AK53" s="14">
        <v>0</v>
      </c>
      <c r="AL53" s="19">
        <v>0</v>
      </c>
      <c r="AM53" s="16">
        <v>0.12</v>
      </c>
      <c r="AN53" s="14">
        <v>0.37</v>
      </c>
      <c r="AO53" s="14">
        <v>0</v>
      </c>
      <c r="AP53" s="15">
        <v>0</v>
      </c>
      <c r="AQ53" s="16">
        <v>35951</v>
      </c>
      <c r="AR53" s="14">
        <v>35951</v>
      </c>
      <c r="AS53" s="15">
        <v>100</v>
      </c>
      <c r="AT53" s="16">
        <v>179609</v>
      </c>
      <c r="AU53" s="14">
        <v>0</v>
      </c>
      <c r="AV53" s="19">
        <v>0</v>
      </c>
    </row>
    <row r="54" spans="1:48" ht="15.75" x14ac:dyDescent="0.25">
      <c r="A54" s="75"/>
      <c r="B54" s="64"/>
      <c r="C54" s="14">
        <v>12</v>
      </c>
      <c r="D54" s="15" t="s">
        <v>42</v>
      </c>
      <c r="E54" s="16">
        <v>44603</v>
      </c>
      <c r="F54" s="14">
        <v>43.56</v>
      </c>
      <c r="G54" s="11">
        <f t="shared" si="4"/>
        <v>101.75</v>
      </c>
      <c r="H54" s="16">
        <v>180</v>
      </c>
      <c r="I54" s="17">
        <v>3060</v>
      </c>
      <c r="J54" s="14">
        <f t="shared" si="5"/>
        <v>106.25</v>
      </c>
      <c r="K54" s="18">
        <v>3060</v>
      </c>
      <c r="L54" s="16">
        <v>0</v>
      </c>
      <c r="M54" s="14">
        <v>0</v>
      </c>
      <c r="N54" s="14">
        <v>3060</v>
      </c>
      <c r="O54" s="14">
        <v>0</v>
      </c>
      <c r="P54" s="19">
        <v>0</v>
      </c>
      <c r="Q54" s="16">
        <v>0</v>
      </c>
      <c r="R54" s="14">
        <v>0</v>
      </c>
      <c r="S54" s="14">
        <v>100</v>
      </c>
      <c r="T54" s="14">
        <v>0</v>
      </c>
      <c r="U54" s="15">
        <v>0</v>
      </c>
      <c r="V54" s="16">
        <v>2884</v>
      </c>
      <c r="W54" s="14">
        <v>0</v>
      </c>
      <c r="X54" s="19">
        <v>176</v>
      </c>
      <c r="Y54" s="16">
        <v>94.25</v>
      </c>
      <c r="Z54" s="14">
        <v>0</v>
      </c>
      <c r="AA54" s="15">
        <v>5.75</v>
      </c>
      <c r="AB54" s="16">
        <v>176</v>
      </c>
      <c r="AC54" s="14">
        <v>3060</v>
      </c>
      <c r="AD54" s="19">
        <v>5.75</v>
      </c>
      <c r="AE54" s="16">
        <v>7</v>
      </c>
      <c r="AF54" s="14">
        <v>48</v>
      </c>
      <c r="AG54" s="14">
        <v>95</v>
      </c>
      <c r="AH54" s="19">
        <v>26</v>
      </c>
      <c r="AI54" s="16">
        <v>3.98</v>
      </c>
      <c r="AJ54" s="14">
        <v>27.27</v>
      </c>
      <c r="AK54" s="14">
        <v>53.98</v>
      </c>
      <c r="AL54" s="19">
        <v>14.77</v>
      </c>
      <c r="AM54" s="16">
        <v>0.23</v>
      </c>
      <c r="AN54" s="14">
        <v>1.57</v>
      </c>
      <c r="AO54" s="14">
        <v>3.1</v>
      </c>
      <c r="AP54" s="15">
        <v>0.85</v>
      </c>
      <c r="AQ54" s="16">
        <v>2946</v>
      </c>
      <c r="AR54" s="14">
        <v>2946</v>
      </c>
      <c r="AS54" s="15">
        <v>100</v>
      </c>
      <c r="AT54" s="16">
        <v>14045</v>
      </c>
      <c r="AU54" s="14">
        <v>0</v>
      </c>
      <c r="AV54" s="19">
        <v>0</v>
      </c>
    </row>
    <row r="55" spans="1:48" ht="15.75" x14ac:dyDescent="0.25">
      <c r="A55" s="75"/>
      <c r="B55" s="64"/>
      <c r="C55" s="14">
        <v>13</v>
      </c>
      <c r="D55" s="15" t="s">
        <v>43</v>
      </c>
      <c r="E55" s="16">
        <v>58413</v>
      </c>
      <c r="F55" s="14">
        <v>57.04</v>
      </c>
      <c r="G55" s="11">
        <f t="shared" si="4"/>
        <v>101.19</v>
      </c>
      <c r="H55" s="16">
        <v>2992</v>
      </c>
      <c r="I55" s="17">
        <v>57024</v>
      </c>
      <c r="J55" s="14">
        <f t="shared" si="5"/>
        <v>100.31</v>
      </c>
      <c r="K55" s="18">
        <v>57024</v>
      </c>
      <c r="L55" s="16">
        <v>0</v>
      </c>
      <c r="M55" s="14">
        <v>0</v>
      </c>
      <c r="N55" s="14">
        <v>57024</v>
      </c>
      <c r="O55" s="14">
        <v>0</v>
      </c>
      <c r="P55" s="19">
        <v>0</v>
      </c>
      <c r="Q55" s="16">
        <v>0</v>
      </c>
      <c r="R55" s="14">
        <v>0</v>
      </c>
      <c r="S55" s="14">
        <v>100</v>
      </c>
      <c r="T55" s="14">
        <v>0</v>
      </c>
      <c r="U55" s="15">
        <v>0</v>
      </c>
      <c r="V55" s="16">
        <v>56848</v>
      </c>
      <c r="W55" s="14">
        <v>0</v>
      </c>
      <c r="X55" s="19">
        <v>176</v>
      </c>
      <c r="Y55" s="16">
        <v>99.69</v>
      </c>
      <c r="Z55" s="14">
        <v>0</v>
      </c>
      <c r="AA55" s="15">
        <v>0.31</v>
      </c>
      <c r="AB55" s="16">
        <v>176</v>
      </c>
      <c r="AC55" s="14">
        <v>57024</v>
      </c>
      <c r="AD55" s="19">
        <v>0.31</v>
      </c>
      <c r="AE55" s="16">
        <v>44</v>
      </c>
      <c r="AF55" s="14">
        <v>132</v>
      </c>
      <c r="AG55" s="14">
        <v>0</v>
      </c>
      <c r="AH55" s="19">
        <v>0</v>
      </c>
      <c r="AI55" s="16">
        <v>25</v>
      </c>
      <c r="AJ55" s="14">
        <v>75</v>
      </c>
      <c r="AK55" s="14">
        <v>0</v>
      </c>
      <c r="AL55" s="19">
        <v>0</v>
      </c>
      <c r="AM55" s="16">
        <v>0.08</v>
      </c>
      <c r="AN55" s="14">
        <v>0.23</v>
      </c>
      <c r="AO55" s="14">
        <v>0</v>
      </c>
      <c r="AP55" s="15">
        <v>0</v>
      </c>
      <c r="AQ55" s="16">
        <v>57093</v>
      </c>
      <c r="AR55" s="14">
        <v>57093</v>
      </c>
      <c r="AS55" s="15">
        <v>100</v>
      </c>
      <c r="AT55" s="16">
        <v>286345</v>
      </c>
      <c r="AU55" s="14">
        <v>1</v>
      </c>
      <c r="AV55" s="19">
        <v>0</v>
      </c>
    </row>
    <row r="56" spans="1:48" ht="15.75" x14ac:dyDescent="0.25">
      <c r="A56" s="75"/>
      <c r="B56" s="64"/>
      <c r="C56" s="14">
        <v>14</v>
      </c>
      <c r="D56" s="15" t="s">
        <v>44</v>
      </c>
      <c r="E56" s="16">
        <v>39220</v>
      </c>
      <c r="F56" s="14">
        <v>38.299999999999997</v>
      </c>
      <c r="G56" s="11">
        <f t="shared" si="4"/>
        <v>102.93</v>
      </c>
      <c r="H56" s="16">
        <v>5</v>
      </c>
      <c r="I56" s="17">
        <v>216</v>
      </c>
      <c r="J56" s="14">
        <f t="shared" si="5"/>
        <v>2400</v>
      </c>
      <c r="K56" s="18">
        <v>216</v>
      </c>
      <c r="L56" s="16">
        <v>0</v>
      </c>
      <c r="M56" s="14">
        <v>160</v>
      </c>
      <c r="N56" s="14">
        <v>0</v>
      </c>
      <c r="O56" s="14">
        <v>56</v>
      </c>
      <c r="P56" s="19">
        <v>0</v>
      </c>
      <c r="Q56" s="16">
        <v>0</v>
      </c>
      <c r="R56" s="14">
        <v>74.069999999999993</v>
      </c>
      <c r="S56" s="14">
        <v>0</v>
      </c>
      <c r="T56" s="14">
        <v>25.93</v>
      </c>
      <c r="U56" s="15">
        <v>0</v>
      </c>
      <c r="V56" s="16">
        <v>40</v>
      </c>
      <c r="W56" s="14">
        <v>0</v>
      </c>
      <c r="X56" s="19">
        <v>176</v>
      </c>
      <c r="Y56" s="16">
        <v>18.52</v>
      </c>
      <c r="Z56" s="14">
        <v>0</v>
      </c>
      <c r="AA56" s="15">
        <v>81.48</v>
      </c>
      <c r="AB56" s="16">
        <v>176</v>
      </c>
      <c r="AC56" s="14">
        <v>216</v>
      </c>
      <c r="AD56" s="19">
        <v>81.48</v>
      </c>
      <c r="AE56" s="16">
        <v>8</v>
      </c>
      <c r="AF56" s="14">
        <v>142</v>
      </c>
      <c r="AG56" s="14">
        <v>16</v>
      </c>
      <c r="AH56" s="19">
        <v>10</v>
      </c>
      <c r="AI56" s="16">
        <v>4.55</v>
      </c>
      <c r="AJ56" s="14">
        <v>80.680000000000007</v>
      </c>
      <c r="AK56" s="14">
        <v>9.09</v>
      </c>
      <c r="AL56" s="19">
        <v>5.68</v>
      </c>
      <c r="AM56" s="16">
        <v>3.7</v>
      </c>
      <c r="AN56" s="14">
        <v>65.739999999999995</v>
      </c>
      <c r="AO56" s="14">
        <v>7.41</v>
      </c>
      <c r="AP56" s="15">
        <v>4.63</v>
      </c>
      <c r="AQ56" s="16">
        <v>68</v>
      </c>
      <c r="AR56" s="14">
        <v>70</v>
      </c>
      <c r="AS56" s="15">
        <v>102.94</v>
      </c>
      <c r="AT56" s="16">
        <v>373</v>
      </c>
      <c r="AU56" s="14">
        <v>0</v>
      </c>
      <c r="AV56" s="19">
        <v>0</v>
      </c>
    </row>
    <row r="57" spans="1:48" ht="15.75" x14ac:dyDescent="0.25">
      <c r="A57" s="75"/>
      <c r="B57" s="64"/>
      <c r="C57" s="14">
        <v>16</v>
      </c>
      <c r="D57" s="15" t="s">
        <v>46</v>
      </c>
      <c r="E57" s="16">
        <v>39396</v>
      </c>
      <c r="F57" s="14">
        <v>38.47</v>
      </c>
      <c r="G57" s="11">
        <f t="shared" si="4"/>
        <v>102.26</v>
      </c>
      <c r="H57" s="16">
        <v>16</v>
      </c>
      <c r="I57" s="17">
        <v>313</v>
      </c>
      <c r="J57" s="14">
        <f t="shared" si="5"/>
        <v>279.45999999999998</v>
      </c>
      <c r="K57" s="18">
        <v>341</v>
      </c>
      <c r="L57" s="16">
        <v>0</v>
      </c>
      <c r="M57" s="14">
        <v>0</v>
      </c>
      <c r="N57" s="14">
        <v>313</v>
      </c>
      <c r="O57" s="14">
        <v>0</v>
      </c>
      <c r="P57" s="19">
        <v>0</v>
      </c>
      <c r="Q57" s="16">
        <v>0</v>
      </c>
      <c r="R57" s="14">
        <v>0</v>
      </c>
      <c r="S57" s="14">
        <v>100</v>
      </c>
      <c r="T57" s="14">
        <v>0</v>
      </c>
      <c r="U57" s="15">
        <v>0</v>
      </c>
      <c r="V57" s="16">
        <v>137</v>
      </c>
      <c r="W57" s="14">
        <v>0</v>
      </c>
      <c r="X57" s="19">
        <v>176</v>
      </c>
      <c r="Y57" s="16">
        <v>43.77</v>
      </c>
      <c r="Z57" s="14">
        <v>0</v>
      </c>
      <c r="AA57" s="15">
        <v>56.23</v>
      </c>
      <c r="AB57" s="16">
        <v>176</v>
      </c>
      <c r="AC57" s="14">
        <v>313</v>
      </c>
      <c r="AD57" s="19">
        <v>56.23</v>
      </c>
      <c r="AE57" s="16">
        <v>8</v>
      </c>
      <c r="AF57" s="14">
        <v>165</v>
      </c>
      <c r="AG57" s="14">
        <v>0</v>
      </c>
      <c r="AH57" s="19">
        <v>3</v>
      </c>
      <c r="AI57" s="16">
        <v>4.55</v>
      </c>
      <c r="AJ57" s="14">
        <v>93.75</v>
      </c>
      <c r="AK57" s="14">
        <v>0</v>
      </c>
      <c r="AL57" s="19">
        <v>1.7</v>
      </c>
      <c r="AM57" s="16">
        <v>2.56</v>
      </c>
      <c r="AN57" s="14">
        <v>52.72</v>
      </c>
      <c r="AO57" s="14">
        <v>0</v>
      </c>
      <c r="AP57" s="15">
        <v>0.96</v>
      </c>
      <c r="AQ57" s="16">
        <v>1017</v>
      </c>
      <c r="AR57" s="14">
        <v>1044</v>
      </c>
      <c r="AS57" s="15">
        <v>102.65</v>
      </c>
      <c r="AT57" s="16">
        <v>7239</v>
      </c>
      <c r="AU57" s="14">
        <v>0</v>
      </c>
      <c r="AV57" s="19">
        <v>0</v>
      </c>
    </row>
    <row r="58" spans="1:48" ht="15.75" x14ac:dyDescent="0.25">
      <c r="A58" s="75"/>
      <c r="B58" s="64"/>
      <c r="C58" s="14">
        <v>17</v>
      </c>
      <c r="D58" s="15" t="s">
        <v>47</v>
      </c>
      <c r="E58" s="16">
        <v>44476</v>
      </c>
      <c r="F58" s="14">
        <v>43.43</v>
      </c>
      <c r="G58" s="11">
        <f t="shared" si="4"/>
        <v>102.55</v>
      </c>
      <c r="H58" s="16">
        <v>113</v>
      </c>
      <c r="I58" s="17">
        <v>419</v>
      </c>
      <c r="J58" s="14">
        <f t="shared" si="5"/>
        <v>196.71</v>
      </c>
      <c r="K58" s="18">
        <v>382</v>
      </c>
      <c r="L58" s="16">
        <v>0</v>
      </c>
      <c r="M58" s="14">
        <v>4</v>
      </c>
      <c r="N58" s="14">
        <v>39</v>
      </c>
      <c r="O58" s="14">
        <v>376</v>
      </c>
      <c r="P58" s="19">
        <v>0</v>
      </c>
      <c r="Q58" s="16">
        <v>0</v>
      </c>
      <c r="R58" s="14">
        <v>0.95</v>
      </c>
      <c r="S58" s="14">
        <v>9.31</v>
      </c>
      <c r="T58" s="14">
        <v>89.74</v>
      </c>
      <c r="U58" s="15">
        <v>0</v>
      </c>
      <c r="V58" s="16">
        <v>243</v>
      </c>
      <c r="W58" s="14">
        <v>0</v>
      </c>
      <c r="X58" s="19">
        <v>176</v>
      </c>
      <c r="Y58" s="16">
        <v>58</v>
      </c>
      <c r="Z58" s="14">
        <v>0</v>
      </c>
      <c r="AA58" s="15">
        <v>42</v>
      </c>
      <c r="AB58" s="16">
        <v>215</v>
      </c>
      <c r="AC58" s="14">
        <v>419</v>
      </c>
      <c r="AD58" s="19">
        <v>51.31</v>
      </c>
      <c r="AE58" s="16">
        <v>22</v>
      </c>
      <c r="AF58" s="14">
        <v>148</v>
      </c>
      <c r="AG58" s="14">
        <v>0</v>
      </c>
      <c r="AH58" s="19">
        <v>45</v>
      </c>
      <c r="AI58" s="16">
        <v>10.23</v>
      </c>
      <c r="AJ58" s="14">
        <v>68.84</v>
      </c>
      <c r="AK58" s="14">
        <v>0</v>
      </c>
      <c r="AL58" s="19">
        <v>20.93</v>
      </c>
      <c r="AM58" s="16">
        <v>5.25</v>
      </c>
      <c r="AN58" s="14">
        <v>35.32</v>
      </c>
      <c r="AO58" s="14">
        <v>0</v>
      </c>
      <c r="AP58" s="15">
        <v>10.74</v>
      </c>
      <c r="AQ58" s="16">
        <v>1079</v>
      </c>
      <c r="AR58" s="14">
        <v>1117</v>
      </c>
      <c r="AS58" s="15">
        <v>103.52</v>
      </c>
      <c r="AT58" s="16">
        <v>6656</v>
      </c>
      <c r="AU58" s="14">
        <v>13</v>
      </c>
      <c r="AV58" s="19">
        <v>0.2</v>
      </c>
    </row>
    <row r="59" spans="1:48" ht="15.75" x14ac:dyDescent="0.25">
      <c r="A59" s="75"/>
      <c r="B59" s="64"/>
      <c r="C59" s="14">
        <v>20</v>
      </c>
      <c r="D59" s="15" t="s">
        <v>50</v>
      </c>
      <c r="E59" s="16">
        <v>405087</v>
      </c>
      <c r="F59" s="14">
        <v>395.59</v>
      </c>
      <c r="G59" s="11">
        <f t="shared" si="4"/>
        <v>100.21</v>
      </c>
      <c r="H59" s="16">
        <v>1860</v>
      </c>
      <c r="I59" s="17">
        <v>48546</v>
      </c>
      <c r="J59" s="14">
        <f t="shared" si="5"/>
        <v>100.38</v>
      </c>
      <c r="K59" s="18">
        <v>50029</v>
      </c>
      <c r="L59" s="16">
        <v>0</v>
      </c>
      <c r="M59" s="14">
        <v>0</v>
      </c>
      <c r="N59" s="14">
        <v>48546</v>
      </c>
      <c r="O59" s="14">
        <v>0</v>
      </c>
      <c r="P59" s="19">
        <v>0</v>
      </c>
      <c r="Q59" s="16">
        <v>0</v>
      </c>
      <c r="R59" s="14">
        <v>0</v>
      </c>
      <c r="S59" s="14">
        <v>100</v>
      </c>
      <c r="T59" s="14">
        <v>0</v>
      </c>
      <c r="U59" s="15">
        <v>0</v>
      </c>
      <c r="V59" s="16">
        <v>48370</v>
      </c>
      <c r="W59" s="14">
        <v>0</v>
      </c>
      <c r="X59" s="19">
        <v>176</v>
      </c>
      <c r="Y59" s="16">
        <v>99.64</v>
      </c>
      <c r="Z59" s="14">
        <v>0</v>
      </c>
      <c r="AA59" s="15">
        <v>0.36</v>
      </c>
      <c r="AB59" s="16">
        <v>176</v>
      </c>
      <c r="AC59" s="14">
        <v>48546</v>
      </c>
      <c r="AD59" s="19">
        <v>0.36</v>
      </c>
      <c r="AE59" s="16">
        <v>15</v>
      </c>
      <c r="AF59" s="14">
        <v>115</v>
      </c>
      <c r="AG59" s="14">
        <v>36</v>
      </c>
      <c r="AH59" s="19">
        <v>10</v>
      </c>
      <c r="AI59" s="16">
        <v>8.52</v>
      </c>
      <c r="AJ59" s="14">
        <v>65.34</v>
      </c>
      <c r="AK59" s="14">
        <v>20.45</v>
      </c>
      <c r="AL59" s="19">
        <v>5.68</v>
      </c>
      <c r="AM59" s="16">
        <v>0.03</v>
      </c>
      <c r="AN59" s="14">
        <v>0.24</v>
      </c>
      <c r="AO59" s="14">
        <v>7.0000000000000007E-2</v>
      </c>
      <c r="AP59" s="15">
        <v>0.02</v>
      </c>
      <c r="AQ59" s="16">
        <v>153170</v>
      </c>
      <c r="AR59" s="14">
        <v>155205</v>
      </c>
      <c r="AS59" s="15">
        <v>101.33</v>
      </c>
      <c r="AT59" s="16">
        <v>1339700</v>
      </c>
      <c r="AU59" s="14">
        <v>604</v>
      </c>
      <c r="AV59" s="19">
        <v>0.05</v>
      </c>
    </row>
    <row r="60" spans="1:48" ht="16.5" thickBot="1" x14ac:dyDescent="0.3">
      <c r="A60" s="75"/>
      <c r="B60" s="65"/>
      <c r="C60" s="20">
        <v>21</v>
      </c>
      <c r="D60" s="21" t="s">
        <v>51</v>
      </c>
      <c r="E60" s="22">
        <v>16148</v>
      </c>
      <c r="F60" s="20">
        <v>15.77</v>
      </c>
      <c r="G60" s="11">
        <f t="shared" si="4"/>
        <v>92.22</v>
      </c>
      <c r="H60" s="22">
        <v>17</v>
      </c>
      <c r="I60" s="24">
        <v>236</v>
      </c>
      <c r="J60" s="20">
        <f t="shared" si="5"/>
        <v>874.07</v>
      </c>
      <c r="K60" s="25">
        <v>235</v>
      </c>
      <c r="L60" s="22">
        <v>2</v>
      </c>
      <c r="M60" s="20">
        <v>0</v>
      </c>
      <c r="N60" s="20">
        <v>234</v>
      </c>
      <c r="O60" s="20">
        <v>0</v>
      </c>
      <c r="P60" s="27">
        <v>0</v>
      </c>
      <c r="Q60" s="22">
        <v>0.85</v>
      </c>
      <c r="R60" s="20">
        <v>0</v>
      </c>
      <c r="S60" s="20">
        <v>99.15</v>
      </c>
      <c r="T60" s="20">
        <v>0</v>
      </c>
      <c r="U60" s="21">
        <v>0</v>
      </c>
      <c r="V60" s="22">
        <v>60</v>
      </c>
      <c r="W60" s="20">
        <v>0</v>
      </c>
      <c r="X60" s="27">
        <v>176</v>
      </c>
      <c r="Y60" s="22">
        <v>25.42</v>
      </c>
      <c r="Z60" s="20">
        <v>0</v>
      </c>
      <c r="AA60" s="21">
        <v>74.58</v>
      </c>
      <c r="AB60" s="22">
        <v>178</v>
      </c>
      <c r="AC60" s="20">
        <v>236</v>
      </c>
      <c r="AD60" s="27">
        <v>75.42</v>
      </c>
      <c r="AE60" s="22">
        <v>1</v>
      </c>
      <c r="AF60" s="20">
        <v>170</v>
      </c>
      <c r="AG60" s="20">
        <v>0</v>
      </c>
      <c r="AH60" s="27">
        <v>7</v>
      </c>
      <c r="AI60" s="22">
        <v>0.56000000000000005</v>
      </c>
      <c r="AJ60" s="20">
        <v>95.51</v>
      </c>
      <c r="AK60" s="20">
        <v>0</v>
      </c>
      <c r="AL60" s="27">
        <v>3.93</v>
      </c>
      <c r="AM60" s="22">
        <v>0.42</v>
      </c>
      <c r="AN60" s="20">
        <v>72.03</v>
      </c>
      <c r="AO60" s="20">
        <v>0</v>
      </c>
      <c r="AP60" s="21">
        <v>2.97</v>
      </c>
      <c r="AQ60" s="22">
        <v>1346</v>
      </c>
      <c r="AR60" s="20">
        <v>1331</v>
      </c>
      <c r="AS60" s="21">
        <v>98.89</v>
      </c>
      <c r="AT60" s="22">
        <v>7875</v>
      </c>
      <c r="AU60" s="20">
        <v>0</v>
      </c>
      <c r="AV60" s="27">
        <v>0</v>
      </c>
    </row>
    <row r="61" spans="1:48" ht="16.5" thickBot="1" x14ac:dyDescent="0.3">
      <c r="A61" s="28"/>
      <c r="B61" s="29"/>
      <c r="C61" s="34"/>
      <c r="D61" s="31"/>
      <c r="E61" s="36"/>
      <c r="F61" s="34"/>
      <c r="G61" s="30"/>
      <c r="H61" s="33"/>
      <c r="I61" s="30"/>
      <c r="J61" s="34"/>
      <c r="K61" s="29"/>
      <c r="L61" s="33"/>
      <c r="M61" s="34"/>
      <c r="N61" s="34"/>
      <c r="O61" s="34"/>
      <c r="P61" s="30"/>
      <c r="Q61" s="37"/>
      <c r="R61" s="34"/>
      <c r="S61" s="34"/>
      <c r="T61" s="34"/>
      <c r="U61" s="31"/>
      <c r="V61" s="36"/>
      <c r="W61" s="34"/>
      <c r="X61" s="35"/>
      <c r="Y61" s="36"/>
      <c r="Z61" s="34"/>
      <c r="AA61" s="31"/>
      <c r="AB61" s="36"/>
      <c r="AC61" s="34"/>
      <c r="AD61" s="35"/>
      <c r="AE61" s="36"/>
      <c r="AF61" s="34"/>
      <c r="AG61" s="34"/>
      <c r="AH61" s="35"/>
      <c r="AI61" s="36"/>
      <c r="AJ61" s="34"/>
      <c r="AK61" s="34"/>
      <c r="AL61" s="35"/>
      <c r="AM61" s="36"/>
      <c r="AN61" s="34"/>
      <c r="AO61" s="34"/>
      <c r="AP61" s="31"/>
      <c r="AQ61" s="36"/>
      <c r="AR61" s="34"/>
      <c r="AS61" s="31"/>
      <c r="AT61" s="36"/>
      <c r="AU61" s="34"/>
      <c r="AV61" s="35"/>
    </row>
    <row r="62" spans="1:48" ht="15.75" x14ac:dyDescent="0.25">
      <c r="A62" s="75" t="s">
        <v>55</v>
      </c>
      <c r="B62" s="66">
        <v>16</v>
      </c>
      <c r="C62" s="10">
        <v>1</v>
      </c>
      <c r="D62" s="11" t="s">
        <v>31</v>
      </c>
      <c r="E62" s="9">
        <v>517360</v>
      </c>
      <c r="F62" s="10">
        <v>505.23</v>
      </c>
      <c r="G62" s="11">
        <f>ROUND( F62 / _xlfn.XLOOKUP(D62, $D$4:$D$24, $F$4:$F$24) * 100, 2 )</f>
        <v>100.09</v>
      </c>
      <c r="H62" s="9">
        <v>82</v>
      </c>
      <c r="I62" s="39">
        <v>267</v>
      </c>
      <c r="J62" s="10">
        <f>ROUND( I62 / _xlfn.XLOOKUP(D62, $D$4:$D$24, $I$4:$I$24) * 100, 2 )</f>
        <v>100</v>
      </c>
      <c r="K62" s="40">
        <v>219</v>
      </c>
      <c r="L62" s="9">
        <v>0</v>
      </c>
      <c r="M62" s="10">
        <v>18</v>
      </c>
      <c r="N62" s="10">
        <v>232</v>
      </c>
      <c r="O62" s="10">
        <v>17</v>
      </c>
      <c r="P62" s="13">
        <v>0</v>
      </c>
      <c r="Q62" s="9">
        <v>0</v>
      </c>
      <c r="R62" s="10">
        <v>6.74</v>
      </c>
      <c r="S62" s="10">
        <v>86.89</v>
      </c>
      <c r="T62" s="10">
        <v>6.37</v>
      </c>
      <c r="U62" s="11">
        <v>0</v>
      </c>
      <c r="V62" s="9">
        <v>238</v>
      </c>
      <c r="W62" s="10">
        <v>0</v>
      </c>
      <c r="X62" s="13">
        <v>29</v>
      </c>
      <c r="Y62" s="9">
        <v>89.14</v>
      </c>
      <c r="Z62" s="10">
        <v>0</v>
      </c>
      <c r="AA62" s="11">
        <v>10.86</v>
      </c>
      <c r="AB62" s="9">
        <v>50</v>
      </c>
      <c r="AC62" s="10">
        <v>267</v>
      </c>
      <c r="AD62" s="13">
        <v>18.73</v>
      </c>
      <c r="AE62" s="9">
        <v>0</v>
      </c>
      <c r="AF62" s="10">
        <v>0</v>
      </c>
      <c r="AG62" s="10">
        <v>0</v>
      </c>
      <c r="AH62" s="13">
        <v>50</v>
      </c>
      <c r="AI62" s="9">
        <v>0</v>
      </c>
      <c r="AJ62" s="10">
        <v>0</v>
      </c>
      <c r="AK62" s="10">
        <v>0</v>
      </c>
      <c r="AL62" s="13">
        <v>100</v>
      </c>
      <c r="AM62" s="9">
        <v>0</v>
      </c>
      <c r="AN62" s="10">
        <v>0</v>
      </c>
      <c r="AO62" s="10">
        <v>0</v>
      </c>
      <c r="AP62" s="11">
        <v>18.73</v>
      </c>
      <c r="AQ62" s="9">
        <v>2048</v>
      </c>
      <c r="AR62" s="10">
        <v>2170</v>
      </c>
      <c r="AS62" s="11">
        <v>105.96</v>
      </c>
      <c r="AT62" s="9">
        <v>13838</v>
      </c>
      <c r="AU62" s="10">
        <v>527</v>
      </c>
      <c r="AV62" s="13">
        <v>3.81</v>
      </c>
    </row>
    <row r="63" spans="1:48" ht="15.75" x14ac:dyDescent="0.25">
      <c r="A63" s="75"/>
      <c r="B63" s="64"/>
      <c r="C63" s="14">
        <v>3</v>
      </c>
      <c r="D63" s="15" t="s">
        <v>33</v>
      </c>
      <c r="E63" s="16">
        <v>45305</v>
      </c>
      <c r="F63" s="14">
        <v>44.24</v>
      </c>
      <c r="G63" s="11">
        <f t="shared" ref="G63:G76" si="6">ROUND( F63 / _xlfn.XLOOKUP(D63, $D$4:$D$24, $F$4:$F$24) * 100, 2 )</f>
        <v>101.12</v>
      </c>
      <c r="H63" s="16">
        <v>49</v>
      </c>
      <c r="I63" s="17">
        <v>198</v>
      </c>
      <c r="J63" s="14">
        <f t="shared" ref="J63:J76" si="7">ROUND( I63 / _xlfn.XLOOKUP(D63, $D$4:$D$24, $I$4:$I$24) * 100, 2 )</f>
        <v>100</v>
      </c>
      <c r="K63" s="18">
        <v>132</v>
      </c>
      <c r="L63" s="16">
        <v>0</v>
      </c>
      <c r="M63" s="14">
        <v>0</v>
      </c>
      <c r="N63" s="14">
        <v>66</v>
      </c>
      <c r="O63" s="14">
        <v>132</v>
      </c>
      <c r="P63" s="19">
        <v>0</v>
      </c>
      <c r="Q63" s="16">
        <v>0</v>
      </c>
      <c r="R63" s="14">
        <v>0</v>
      </c>
      <c r="S63" s="14">
        <v>33.33</v>
      </c>
      <c r="T63" s="14">
        <v>66.67</v>
      </c>
      <c r="U63" s="15">
        <v>0</v>
      </c>
      <c r="V63" s="16">
        <v>198</v>
      </c>
      <c r="W63" s="14">
        <v>0</v>
      </c>
      <c r="X63" s="19">
        <v>0</v>
      </c>
      <c r="Y63" s="16">
        <v>100</v>
      </c>
      <c r="Z63" s="14">
        <v>0</v>
      </c>
      <c r="AA63" s="15">
        <v>0</v>
      </c>
      <c r="AB63" s="16">
        <v>66</v>
      </c>
      <c r="AC63" s="14">
        <v>198</v>
      </c>
      <c r="AD63" s="19">
        <v>33.33</v>
      </c>
      <c r="AE63" s="16">
        <v>0</v>
      </c>
      <c r="AF63" s="14">
        <v>0</v>
      </c>
      <c r="AG63" s="14">
        <v>0</v>
      </c>
      <c r="AH63" s="19">
        <v>66</v>
      </c>
      <c r="AI63" s="16">
        <v>0</v>
      </c>
      <c r="AJ63" s="14">
        <v>0</v>
      </c>
      <c r="AK63" s="14">
        <v>0</v>
      </c>
      <c r="AL63" s="19">
        <v>100</v>
      </c>
      <c r="AM63" s="16">
        <v>0</v>
      </c>
      <c r="AN63" s="14">
        <v>0</v>
      </c>
      <c r="AO63" s="14">
        <v>0</v>
      </c>
      <c r="AP63" s="15">
        <v>33.33</v>
      </c>
      <c r="AQ63" s="16">
        <v>742</v>
      </c>
      <c r="AR63" s="14">
        <v>978</v>
      </c>
      <c r="AS63" s="15">
        <v>131.81</v>
      </c>
      <c r="AT63" s="16">
        <v>5434</v>
      </c>
      <c r="AU63" s="14">
        <v>531</v>
      </c>
      <c r="AV63" s="19">
        <v>9.77</v>
      </c>
    </row>
    <row r="64" spans="1:48" ht="15.75" x14ac:dyDescent="0.25">
      <c r="A64" s="75"/>
      <c r="B64" s="64"/>
      <c r="C64" s="14">
        <v>4</v>
      </c>
      <c r="D64" s="15" t="s">
        <v>34</v>
      </c>
      <c r="E64" s="16">
        <v>2623856</v>
      </c>
      <c r="F64" s="14">
        <v>2562.36</v>
      </c>
      <c r="G64" s="11">
        <f t="shared" si="6"/>
        <v>100.02</v>
      </c>
      <c r="H64" s="16">
        <v>313</v>
      </c>
      <c r="I64" s="17">
        <v>736</v>
      </c>
      <c r="J64" s="14">
        <f t="shared" si="7"/>
        <v>100</v>
      </c>
      <c r="K64" s="18">
        <v>652</v>
      </c>
      <c r="L64" s="16">
        <v>0</v>
      </c>
      <c r="M64" s="14">
        <v>593</v>
      </c>
      <c r="N64" s="14">
        <v>112</v>
      </c>
      <c r="O64" s="14">
        <v>31</v>
      </c>
      <c r="P64" s="19">
        <v>0</v>
      </c>
      <c r="Q64" s="16">
        <v>0</v>
      </c>
      <c r="R64" s="14">
        <v>80.569999999999993</v>
      </c>
      <c r="S64" s="14">
        <v>15.22</v>
      </c>
      <c r="T64" s="14">
        <v>4.21</v>
      </c>
      <c r="U64" s="15">
        <v>0</v>
      </c>
      <c r="V64" s="16">
        <v>736</v>
      </c>
      <c r="W64" s="14">
        <v>0</v>
      </c>
      <c r="X64" s="19">
        <v>0</v>
      </c>
      <c r="Y64" s="16">
        <v>100</v>
      </c>
      <c r="Z64" s="14">
        <v>0</v>
      </c>
      <c r="AA64" s="15">
        <v>0</v>
      </c>
      <c r="AB64" s="16">
        <v>55</v>
      </c>
      <c r="AC64" s="14">
        <v>736</v>
      </c>
      <c r="AD64" s="19">
        <v>7.47</v>
      </c>
      <c r="AE64" s="16">
        <v>1</v>
      </c>
      <c r="AF64" s="14">
        <v>2</v>
      </c>
      <c r="AG64" s="14">
        <v>21</v>
      </c>
      <c r="AH64" s="19">
        <v>31</v>
      </c>
      <c r="AI64" s="16">
        <v>1.82</v>
      </c>
      <c r="AJ64" s="14">
        <v>3.64</v>
      </c>
      <c r="AK64" s="14">
        <v>38.18</v>
      </c>
      <c r="AL64" s="19">
        <v>56.36</v>
      </c>
      <c r="AM64" s="16">
        <v>0.14000000000000001</v>
      </c>
      <c r="AN64" s="14">
        <v>0.27</v>
      </c>
      <c r="AO64" s="14">
        <v>2.85</v>
      </c>
      <c r="AP64" s="15">
        <v>4.21</v>
      </c>
      <c r="AQ64" s="16">
        <v>5528</v>
      </c>
      <c r="AR64" s="14">
        <v>5841</v>
      </c>
      <c r="AS64" s="15">
        <v>105.66</v>
      </c>
      <c r="AT64" s="16">
        <v>37245</v>
      </c>
      <c r="AU64" s="14">
        <v>549</v>
      </c>
      <c r="AV64" s="19">
        <v>1.47</v>
      </c>
    </row>
    <row r="65" spans="1:48" ht="15.75" x14ac:dyDescent="0.25">
      <c r="A65" s="75"/>
      <c r="B65" s="64"/>
      <c r="C65" s="14">
        <v>5</v>
      </c>
      <c r="D65" s="15" t="s">
        <v>35</v>
      </c>
      <c r="E65" s="16">
        <v>40239</v>
      </c>
      <c r="F65" s="14">
        <v>39.299999999999997</v>
      </c>
      <c r="G65" s="11">
        <f t="shared" si="6"/>
        <v>100.95</v>
      </c>
      <c r="H65" s="16">
        <v>33</v>
      </c>
      <c r="I65" s="17">
        <v>80</v>
      </c>
      <c r="J65" s="14">
        <f t="shared" si="7"/>
        <v>100</v>
      </c>
      <c r="K65" s="18">
        <v>64</v>
      </c>
      <c r="L65" s="16">
        <v>0</v>
      </c>
      <c r="M65" s="14">
        <v>64</v>
      </c>
      <c r="N65" s="14">
        <v>16</v>
      </c>
      <c r="O65" s="14">
        <v>0</v>
      </c>
      <c r="P65" s="19">
        <v>0</v>
      </c>
      <c r="Q65" s="16">
        <v>0</v>
      </c>
      <c r="R65" s="14">
        <v>80</v>
      </c>
      <c r="S65" s="14">
        <v>20</v>
      </c>
      <c r="T65" s="14">
        <v>0</v>
      </c>
      <c r="U65" s="15">
        <v>0</v>
      </c>
      <c r="V65" s="16">
        <v>80</v>
      </c>
      <c r="W65" s="14">
        <v>0</v>
      </c>
      <c r="X65" s="19">
        <v>0</v>
      </c>
      <c r="Y65" s="16">
        <v>100</v>
      </c>
      <c r="Z65" s="14">
        <v>0</v>
      </c>
      <c r="AA65" s="15">
        <v>0</v>
      </c>
      <c r="AB65" s="16">
        <v>16</v>
      </c>
      <c r="AC65" s="14">
        <v>80</v>
      </c>
      <c r="AD65" s="19">
        <v>20</v>
      </c>
      <c r="AE65" s="16">
        <v>0</v>
      </c>
      <c r="AF65" s="14">
        <v>0</v>
      </c>
      <c r="AG65" s="14">
        <v>0</v>
      </c>
      <c r="AH65" s="19">
        <v>16</v>
      </c>
      <c r="AI65" s="16">
        <v>0</v>
      </c>
      <c r="AJ65" s="14">
        <v>0</v>
      </c>
      <c r="AK65" s="14">
        <v>0</v>
      </c>
      <c r="AL65" s="19">
        <v>100</v>
      </c>
      <c r="AM65" s="16">
        <v>0</v>
      </c>
      <c r="AN65" s="14">
        <v>0</v>
      </c>
      <c r="AO65" s="14">
        <v>0</v>
      </c>
      <c r="AP65" s="15">
        <v>20</v>
      </c>
      <c r="AQ65" s="16">
        <v>542</v>
      </c>
      <c r="AR65" s="14">
        <v>1690</v>
      </c>
      <c r="AS65" s="15">
        <v>311.81</v>
      </c>
      <c r="AT65" s="16">
        <v>4360</v>
      </c>
      <c r="AU65" s="14">
        <v>516</v>
      </c>
      <c r="AV65" s="19">
        <v>11.83</v>
      </c>
    </row>
    <row r="66" spans="1:48" ht="15.75" x14ac:dyDescent="0.25">
      <c r="A66" s="75"/>
      <c r="B66" s="64"/>
      <c r="C66" s="14">
        <v>6</v>
      </c>
      <c r="D66" s="15" t="s">
        <v>36</v>
      </c>
      <c r="E66" s="16">
        <v>40418</v>
      </c>
      <c r="F66" s="14">
        <v>39.47</v>
      </c>
      <c r="G66" s="11">
        <f t="shared" si="6"/>
        <v>101.08</v>
      </c>
      <c r="H66" s="16">
        <v>77</v>
      </c>
      <c r="I66" s="17">
        <v>94</v>
      </c>
      <c r="J66" s="14">
        <f t="shared" si="7"/>
        <v>100</v>
      </c>
      <c r="K66" s="18">
        <v>90</v>
      </c>
      <c r="L66" s="16">
        <v>0</v>
      </c>
      <c r="M66" s="14">
        <v>0</v>
      </c>
      <c r="N66" s="14">
        <v>80</v>
      </c>
      <c r="O66" s="14">
        <v>14</v>
      </c>
      <c r="P66" s="19">
        <v>0</v>
      </c>
      <c r="Q66" s="16">
        <v>0</v>
      </c>
      <c r="R66" s="14">
        <v>0</v>
      </c>
      <c r="S66" s="14">
        <v>85.11</v>
      </c>
      <c r="T66" s="14">
        <v>14.89</v>
      </c>
      <c r="U66" s="15">
        <v>0</v>
      </c>
      <c r="V66" s="16">
        <v>94</v>
      </c>
      <c r="W66" s="14">
        <v>0</v>
      </c>
      <c r="X66" s="19">
        <v>0</v>
      </c>
      <c r="Y66" s="16">
        <v>100</v>
      </c>
      <c r="Z66" s="14">
        <v>0</v>
      </c>
      <c r="AA66" s="15">
        <v>0</v>
      </c>
      <c r="AB66" s="16">
        <v>7</v>
      </c>
      <c r="AC66" s="14">
        <v>94</v>
      </c>
      <c r="AD66" s="19">
        <v>7.45</v>
      </c>
      <c r="AE66" s="16">
        <v>0</v>
      </c>
      <c r="AF66" s="14">
        <v>0</v>
      </c>
      <c r="AG66" s="14">
        <v>3</v>
      </c>
      <c r="AH66" s="19">
        <v>4</v>
      </c>
      <c r="AI66" s="16">
        <v>0</v>
      </c>
      <c r="AJ66" s="14">
        <v>0</v>
      </c>
      <c r="AK66" s="14">
        <v>42.86</v>
      </c>
      <c r="AL66" s="19">
        <v>57.14</v>
      </c>
      <c r="AM66" s="16">
        <v>0</v>
      </c>
      <c r="AN66" s="14">
        <v>0</v>
      </c>
      <c r="AO66" s="14">
        <v>3.19</v>
      </c>
      <c r="AP66" s="15">
        <v>4.26</v>
      </c>
      <c r="AQ66" s="16">
        <v>718</v>
      </c>
      <c r="AR66" s="14">
        <v>835</v>
      </c>
      <c r="AS66" s="15">
        <v>116.3</v>
      </c>
      <c r="AT66" s="16">
        <v>4720</v>
      </c>
      <c r="AU66" s="14">
        <v>521</v>
      </c>
      <c r="AV66" s="19">
        <v>11.04</v>
      </c>
    </row>
    <row r="67" spans="1:48" ht="15.75" x14ac:dyDescent="0.25">
      <c r="A67" s="75"/>
      <c r="B67" s="64"/>
      <c r="C67" s="14">
        <v>7</v>
      </c>
      <c r="D67" s="15" t="s">
        <v>37</v>
      </c>
      <c r="E67" s="16">
        <v>42920</v>
      </c>
      <c r="F67" s="14">
        <v>41.91</v>
      </c>
      <c r="G67" s="11">
        <f t="shared" si="6"/>
        <v>100.99</v>
      </c>
      <c r="H67" s="16">
        <v>55</v>
      </c>
      <c r="I67" s="17">
        <v>175</v>
      </c>
      <c r="J67" s="14">
        <f t="shared" si="7"/>
        <v>100</v>
      </c>
      <c r="K67" s="18">
        <v>163</v>
      </c>
      <c r="L67" s="16">
        <v>0</v>
      </c>
      <c r="M67" s="14">
        <v>152</v>
      </c>
      <c r="N67" s="14">
        <v>21</v>
      </c>
      <c r="O67" s="14">
        <v>2</v>
      </c>
      <c r="P67" s="19">
        <v>0</v>
      </c>
      <c r="Q67" s="16">
        <v>0</v>
      </c>
      <c r="R67" s="14">
        <v>86.86</v>
      </c>
      <c r="S67" s="14">
        <v>12</v>
      </c>
      <c r="T67" s="14">
        <v>1.1399999999999999</v>
      </c>
      <c r="U67" s="15">
        <v>0</v>
      </c>
      <c r="V67" s="16">
        <v>175</v>
      </c>
      <c r="W67" s="14">
        <v>0</v>
      </c>
      <c r="X67" s="19">
        <v>0</v>
      </c>
      <c r="Y67" s="16">
        <v>100</v>
      </c>
      <c r="Z67" s="14">
        <v>0</v>
      </c>
      <c r="AA67" s="15">
        <v>0</v>
      </c>
      <c r="AB67" s="16">
        <v>12</v>
      </c>
      <c r="AC67" s="14">
        <v>175</v>
      </c>
      <c r="AD67" s="19">
        <v>6.86</v>
      </c>
      <c r="AE67" s="16">
        <v>0</v>
      </c>
      <c r="AF67" s="14">
        <v>0</v>
      </c>
      <c r="AG67" s="14">
        <v>0</v>
      </c>
      <c r="AH67" s="19">
        <v>12</v>
      </c>
      <c r="AI67" s="16">
        <v>0</v>
      </c>
      <c r="AJ67" s="14">
        <v>0</v>
      </c>
      <c r="AK67" s="14">
        <v>0</v>
      </c>
      <c r="AL67" s="19">
        <v>100</v>
      </c>
      <c r="AM67" s="16">
        <v>0</v>
      </c>
      <c r="AN67" s="14">
        <v>0</v>
      </c>
      <c r="AO67" s="14">
        <v>0</v>
      </c>
      <c r="AP67" s="15">
        <v>6.86</v>
      </c>
      <c r="AQ67" s="16">
        <v>1611</v>
      </c>
      <c r="AR67" s="14">
        <v>1819</v>
      </c>
      <c r="AS67" s="15">
        <v>112.91</v>
      </c>
      <c r="AT67" s="16">
        <v>10230</v>
      </c>
      <c r="AU67" s="14">
        <v>557</v>
      </c>
      <c r="AV67" s="19">
        <v>5.44</v>
      </c>
    </row>
    <row r="68" spans="1:48" ht="15.75" x14ac:dyDescent="0.25">
      <c r="A68" s="75"/>
      <c r="B68" s="64"/>
      <c r="C68" s="14">
        <v>8</v>
      </c>
      <c r="D68" s="15" t="s">
        <v>38</v>
      </c>
      <c r="E68" s="16">
        <v>170188</v>
      </c>
      <c r="F68" s="14">
        <v>166.2</v>
      </c>
      <c r="G68" s="11">
        <f t="shared" si="6"/>
        <v>100.25</v>
      </c>
      <c r="H68" s="16">
        <v>37</v>
      </c>
      <c r="I68" s="17">
        <v>164</v>
      </c>
      <c r="J68" s="14">
        <f t="shared" si="7"/>
        <v>100</v>
      </c>
      <c r="K68" s="18">
        <v>113</v>
      </c>
      <c r="L68" s="16">
        <v>3</v>
      </c>
      <c r="M68" s="14">
        <v>19</v>
      </c>
      <c r="N68" s="14">
        <v>142</v>
      </c>
      <c r="O68" s="14">
        <v>0</v>
      </c>
      <c r="P68" s="19">
        <v>0</v>
      </c>
      <c r="Q68" s="16">
        <v>1.83</v>
      </c>
      <c r="R68" s="14">
        <v>11.59</v>
      </c>
      <c r="S68" s="14">
        <v>86.59</v>
      </c>
      <c r="T68" s="14">
        <v>0</v>
      </c>
      <c r="U68" s="15">
        <v>0</v>
      </c>
      <c r="V68" s="16">
        <v>129</v>
      </c>
      <c r="W68" s="14">
        <v>7</v>
      </c>
      <c r="X68" s="19">
        <v>28</v>
      </c>
      <c r="Y68" s="16">
        <v>78.66</v>
      </c>
      <c r="Z68" s="14">
        <v>4.2699999999999996</v>
      </c>
      <c r="AA68" s="15">
        <v>17.07</v>
      </c>
      <c r="AB68" s="16">
        <v>66</v>
      </c>
      <c r="AC68" s="14">
        <v>164</v>
      </c>
      <c r="AD68" s="19">
        <v>40.24</v>
      </c>
      <c r="AE68" s="16">
        <v>0</v>
      </c>
      <c r="AF68" s="14">
        <v>0</v>
      </c>
      <c r="AG68" s="14">
        <v>0</v>
      </c>
      <c r="AH68" s="19">
        <v>66</v>
      </c>
      <c r="AI68" s="16">
        <v>0</v>
      </c>
      <c r="AJ68" s="14">
        <v>0</v>
      </c>
      <c r="AK68" s="14">
        <v>0</v>
      </c>
      <c r="AL68" s="19">
        <v>100</v>
      </c>
      <c r="AM68" s="16">
        <v>0</v>
      </c>
      <c r="AN68" s="14">
        <v>0</v>
      </c>
      <c r="AO68" s="14">
        <v>0</v>
      </c>
      <c r="AP68" s="15">
        <v>40.24</v>
      </c>
      <c r="AQ68" s="16">
        <v>728</v>
      </c>
      <c r="AR68" s="14">
        <v>882</v>
      </c>
      <c r="AS68" s="15">
        <v>121.15</v>
      </c>
      <c r="AT68" s="16">
        <v>5027</v>
      </c>
      <c r="AU68" s="14">
        <v>532</v>
      </c>
      <c r="AV68" s="19">
        <v>10.58</v>
      </c>
    </row>
    <row r="69" spans="1:48" ht="15.75" x14ac:dyDescent="0.25">
      <c r="A69" s="75"/>
      <c r="B69" s="64"/>
      <c r="C69" s="14">
        <v>9</v>
      </c>
      <c r="D69" s="15" t="s">
        <v>39</v>
      </c>
      <c r="E69" s="16">
        <v>10938141</v>
      </c>
      <c r="F69" s="14">
        <v>10681.78</v>
      </c>
      <c r="G69" s="11">
        <f t="shared" si="6"/>
        <v>100</v>
      </c>
      <c r="H69" s="16">
        <v>726</v>
      </c>
      <c r="I69" s="17">
        <v>1903</v>
      </c>
      <c r="J69" s="14">
        <f t="shared" si="7"/>
        <v>100</v>
      </c>
      <c r="K69" s="18">
        <v>1734</v>
      </c>
      <c r="L69" s="16">
        <v>18</v>
      </c>
      <c r="M69" s="14">
        <v>22</v>
      </c>
      <c r="N69" s="14">
        <v>1508</v>
      </c>
      <c r="O69" s="14">
        <v>355</v>
      </c>
      <c r="P69" s="19">
        <v>0</v>
      </c>
      <c r="Q69" s="16">
        <v>0.95</v>
      </c>
      <c r="R69" s="14">
        <v>1.1599999999999999</v>
      </c>
      <c r="S69" s="14">
        <v>79.239999999999995</v>
      </c>
      <c r="T69" s="14">
        <v>18.649999999999999</v>
      </c>
      <c r="U69" s="15">
        <v>0</v>
      </c>
      <c r="V69" s="16">
        <v>1089</v>
      </c>
      <c r="W69" s="14">
        <v>10</v>
      </c>
      <c r="X69" s="19">
        <v>804</v>
      </c>
      <c r="Y69" s="16">
        <v>57.23</v>
      </c>
      <c r="Z69" s="14">
        <v>0.53</v>
      </c>
      <c r="AA69" s="15">
        <v>42.25</v>
      </c>
      <c r="AB69" s="16">
        <v>187</v>
      </c>
      <c r="AC69" s="14">
        <v>1903</v>
      </c>
      <c r="AD69" s="19">
        <v>9.83</v>
      </c>
      <c r="AE69" s="16">
        <v>0</v>
      </c>
      <c r="AF69" s="14">
        <v>0</v>
      </c>
      <c r="AG69" s="14">
        <v>10</v>
      </c>
      <c r="AH69" s="19">
        <v>177</v>
      </c>
      <c r="AI69" s="16">
        <v>0</v>
      </c>
      <c r="AJ69" s="14">
        <v>0</v>
      </c>
      <c r="AK69" s="14">
        <v>5.35</v>
      </c>
      <c r="AL69" s="19">
        <v>94.65</v>
      </c>
      <c r="AM69" s="16">
        <v>0</v>
      </c>
      <c r="AN69" s="14">
        <v>0</v>
      </c>
      <c r="AO69" s="14">
        <v>0.53</v>
      </c>
      <c r="AP69" s="15">
        <v>9.3000000000000007</v>
      </c>
      <c r="AQ69" s="16">
        <v>10751</v>
      </c>
      <c r="AR69" s="14">
        <v>11183</v>
      </c>
      <c r="AS69" s="15">
        <v>104.02</v>
      </c>
      <c r="AT69" s="16">
        <v>73671</v>
      </c>
      <c r="AU69" s="14">
        <v>3008</v>
      </c>
      <c r="AV69" s="19">
        <v>4.08</v>
      </c>
    </row>
    <row r="70" spans="1:48" ht="15.75" x14ac:dyDescent="0.25">
      <c r="A70" s="75"/>
      <c r="B70" s="64"/>
      <c r="C70" s="14">
        <v>10</v>
      </c>
      <c r="D70" s="15" t="s">
        <v>40</v>
      </c>
      <c r="E70" s="16">
        <v>44029</v>
      </c>
      <c r="F70" s="14">
        <v>43</v>
      </c>
      <c r="G70" s="11">
        <f t="shared" si="6"/>
        <v>101.34</v>
      </c>
      <c r="H70" s="16">
        <v>178</v>
      </c>
      <c r="I70" s="17">
        <v>2848</v>
      </c>
      <c r="J70" s="14">
        <f t="shared" si="7"/>
        <v>100</v>
      </c>
      <c r="K70" s="18">
        <v>2848</v>
      </c>
      <c r="L70" s="16">
        <v>0</v>
      </c>
      <c r="M70" s="14">
        <v>0</v>
      </c>
      <c r="N70" s="14">
        <v>2848</v>
      </c>
      <c r="O70" s="14">
        <v>0</v>
      </c>
      <c r="P70" s="19">
        <v>0</v>
      </c>
      <c r="Q70" s="16">
        <v>0</v>
      </c>
      <c r="R70" s="14">
        <v>0</v>
      </c>
      <c r="S70" s="14">
        <v>100</v>
      </c>
      <c r="T70" s="14">
        <v>0</v>
      </c>
      <c r="U70" s="15">
        <v>0</v>
      </c>
      <c r="V70" s="16">
        <v>2848</v>
      </c>
      <c r="W70" s="14">
        <v>0</v>
      </c>
      <c r="X70" s="19">
        <v>0</v>
      </c>
      <c r="Y70" s="16">
        <v>100</v>
      </c>
      <c r="Z70" s="14">
        <v>0</v>
      </c>
      <c r="AA70" s="15">
        <v>0</v>
      </c>
      <c r="AB70" s="16">
        <v>0</v>
      </c>
      <c r="AC70" s="14">
        <v>2848</v>
      </c>
      <c r="AD70" s="19">
        <v>0</v>
      </c>
      <c r="AE70" s="16">
        <v>0</v>
      </c>
      <c r="AF70" s="14">
        <v>0</v>
      </c>
      <c r="AG70" s="14">
        <v>0</v>
      </c>
      <c r="AH70" s="19">
        <v>0</v>
      </c>
      <c r="AI70" s="16">
        <v>0</v>
      </c>
      <c r="AJ70" s="14">
        <v>0</v>
      </c>
      <c r="AK70" s="14">
        <v>0</v>
      </c>
      <c r="AL70" s="19">
        <v>0</v>
      </c>
      <c r="AM70" s="16">
        <v>0</v>
      </c>
      <c r="AN70" s="14">
        <v>0</v>
      </c>
      <c r="AO70" s="14">
        <v>0</v>
      </c>
      <c r="AP70" s="15">
        <v>0</v>
      </c>
      <c r="AQ70" s="16">
        <v>3088</v>
      </c>
      <c r="AR70" s="14">
        <v>3242</v>
      </c>
      <c r="AS70" s="15">
        <v>104.99</v>
      </c>
      <c r="AT70" s="16">
        <v>15699</v>
      </c>
      <c r="AU70" s="14">
        <v>516</v>
      </c>
      <c r="AV70" s="19">
        <v>3.29</v>
      </c>
    </row>
    <row r="71" spans="1:48" ht="15.75" x14ac:dyDescent="0.25">
      <c r="A71" s="75"/>
      <c r="B71" s="64"/>
      <c r="C71" s="14">
        <v>11</v>
      </c>
      <c r="D71" s="15" t="s">
        <v>41</v>
      </c>
      <c r="E71" s="16">
        <v>52228</v>
      </c>
      <c r="F71" s="14">
        <v>51</v>
      </c>
      <c r="G71" s="11">
        <f t="shared" si="6"/>
        <v>100.85</v>
      </c>
      <c r="H71" s="16">
        <v>2100</v>
      </c>
      <c r="I71" s="17">
        <v>35700</v>
      </c>
      <c r="J71" s="14">
        <f t="shared" si="7"/>
        <v>100</v>
      </c>
      <c r="K71" s="18">
        <v>35700</v>
      </c>
      <c r="L71" s="16">
        <v>0</v>
      </c>
      <c r="M71" s="14">
        <v>0</v>
      </c>
      <c r="N71" s="14">
        <v>35700</v>
      </c>
      <c r="O71" s="14">
        <v>0</v>
      </c>
      <c r="P71" s="19">
        <v>0</v>
      </c>
      <c r="Q71" s="16">
        <v>0</v>
      </c>
      <c r="R71" s="14">
        <v>0</v>
      </c>
      <c r="S71" s="14">
        <v>100</v>
      </c>
      <c r="T71" s="14">
        <v>0</v>
      </c>
      <c r="U71" s="15">
        <v>0</v>
      </c>
      <c r="V71" s="16">
        <v>35700</v>
      </c>
      <c r="W71" s="14">
        <v>0</v>
      </c>
      <c r="X71" s="19">
        <v>0</v>
      </c>
      <c r="Y71" s="16">
        <v>100</v>
      </c>
      <c r="Z71" s="14">
        <v>0</v>
      </c>
      <c r="AA71" s="15">
        <v>0</v>
      </c>
      <c r="AB71" s="16">
        <v>0</v>
      </c>
      <c r="AC71" s="14">
        <v>35700</v>
      </c>
      <c r="AD71" s="19">
        <v>0</v>
      </c>
      <c r="AE71" s="16">
        <v>0</v>
      </c>
      <c r="AF71" s="14">
        <v>0</v>
      </c>
      <c r="AG71" s="14">
        <v>0</v>
      </c>
      <c r="AH71" s="19">
        <v>0</v>
      </c>
      <c r="AI71" s="16">
        <v>0</v>
      </c>
      <c r="AJ71" s="14">
        <v>0</v>
      </c>
      <c r="AK71" s="14">
        <v>0</v>
      </c>
      <c r="AL71" s="19">
        <v>0</v>
      </c>
      <c r="AM71" s="16">
        <v>0</v>
      </c>
      <c r="AN71" s="14">
        <v>0</v>
      </c>
      <c r="AO71" s="14">
        <v>0</v>
      </c>
      <c r="AP71" s="15">
        <v>0</v>
      </c>
      <c r="AQ71" s="16">
        <v>35944</v>
      </c>
      <c r="AR71" s="14">
        <v>36098</v>
      </c>
      <c r="AS71" s="15">
        <v>100.43</v>
      </c>
      <c r="AT71" s="16">
        <v>179953</v>
      </c>
      <c r="AU71" s="14">
        <v>516</v>
      </c>
      <c r="AV71" s="19">
        <v>0.28999999999999998</v>
      </c>
    </row>
    <row r="72" spans="1:48" ht="15.75" x14ac:dyDescent="0.25">
      <c r="A72" s="75"/>
      <c r="B72" s="64"/>
      <c r="C72" s="14">
        <v>12</v>
      </c>
      <c r="D72" s="15" t="s">
        <v>42</v>
      </c>
      <c r="E72" s="16">
        <v>44409</v>
      </c>
      <c r="F72" s="14">
        <v>43.37</v>
      </c>
      <c r="G72" s="11">
        <f t="shared" si="6"/>
        <v>101.31</v>
      </c>
      <c r="H72" s="16">
        <v>180</v>
      </c>
      <c r="I72" s="17">
        <v>2880</v>
      </c>
      <c r="J72" s="14">
        <f t="shared" si="7"/>
        <v>100</v>
      </c>
      <c r="K72" s="18">
        <v>2880</v>
      </c>
      <c r="L72" s="16">
        <v>0</v>
      </c>
      <c r="M72" s="14">
        <v>0</v>
      </c>
      <c r="N72" s="14">
        <v>2880</v>
      </c>
      <c r="O72" s="14">
        <v>0</v>
      </c>
      <c r="P72" s="19">
        <v>0</v>
      </c>
      <c r="Q72" s="16">
        <v>0</v>
      </c>
      <c r="R72" s="14">
        <v>0</v>
      </c>
      <c r="S72" s="14">
        <v>100</v>
      </c>
      <c r="T72" s="14">
        <v>0</v>
      </c>
      <c r="U72" s="15">
        <v>0</v>
      </c>
      <c r="V72" s="16">
        <v>2880</v>
      </c>
      <c r="W72" s="14">
        <v>0</v>
      </c>
      <c r="X72" s="19">
        <v>0</v>
      </c>
      <c r="Y72" s="16">
        <v>100</v>
      </c>
      <c r="Z72" s="14">
        <v>0</v>
      </c>
      <c r="AA72" s="15">
        <v>0</v>
      </c>
      <c r="AB72" s="16">
        <v>0</v>
      </c>
      <c r="AC72" s="14">
        <v>2880</v>
      </c>
      <c r="AD72" s="19">
        <v>0</v>
      </c>
      <c r="AE72" s="16">
        <v>0</v>
      </c>
      <c r="AF72" s="14">
        <v>0</v>
      </c>
      <c r="AG72" s="14">
        <v>0</v>
      </c>
      <c r="AH72" s="19">
        <v>0</v>
      </c>
      <c r="AI72" s="16">
        <v>0</v>
      </c>
      <c r="AJ72" s="14">
        <v>0</v>
      </c>
      <c r="AK72" s="14">
        <v>0</v>
      </c>
      <c r="AL72" s="19">
        <v>0</v>
      </c>
      <c r="AM72" s="16">
        <v>0</v>
      </c>
      <c r="AN72" s="14">
        <v>0</v>
      </c>
      <c r="AO72" s="14">
        <v>0</v>
      </c>
      <c r="AP72" s="15">
        <v>0</v>
      </c>
      <c r="AQ72" s="16">
        <v>2938</v>
      </c>
      <c r="AR72" s="14">
        <v>3093</v>
      </c>
      <c r="AS72" s="15">
        <v>105.28</v>
      </c>
      <c r="AT72" s="16">
        <v>14389</v>
      </c>
      <c r="AU72" s="14">
        <v>516</v>
      </c>
      <c r="AV72" s="19">
        <v>3.59</v>
      </c>
    </row>
    <row r="73" spans="1:48" ht="15.75" x14ac:dyDescent="0.25">
      <c r="A73" s="75"/>
      <c r="B73" s="64"/>
      <c r="C73" s="14">
        <v>13</v>
      </c>
      <c r="D73" s="15" t="s">
        <v>43</v>
      </c>
      <c r="E73" s="16">
        <v>58181</v>
      </c>
      <c r="F73" s="14">
        <v>56.82</v>
      </c>
      <c r="G73" s="11">
        <f t="shared" si="6"/>
        <v>100.8</v>
      </c>
      <c r="H73" s="16">
        <v>2992</v>
      </c>
      <c r="I73" s="17">
        <v>56848</v>
      </c>
      <c r="J73" s="14">
        <f t="shared" si="7"/>
        <v>100</v>
      </c>
      <c r="K73" s="18">
        <v>56848</v>
      </c>
      <c r="L73" s="16">
        <v>0</v>
      </c>
      <c r="M73" s="14">
        <v>0</v>
      </c>
      <c r="N73" s="14">
        <v>56848</v>
      </c>
      <c r="O73" s="14">
        <v>0</v>
      </c>
      <c r="P73" s="19">
        <v>0</v>
      </c>
      <c r="Q73" s="16">
        <v>0</v>
      </c>
      <c r="R73" s="14">
        <v>0</v>
      </c>
      <c r="S73" s="14">
        <v>100</v>
      </c>
      <c r="T73" s="14">
        <v>0</v>
      </c>
      <c r="U73" s="15">
        <v>0</v>
      </c>
      <c r="V73" s="16">
        <v>56848</v>
      </c>
      <c r="W73" s="14">
        <v>0</v>
      </c>
      <c r="X73" s="19">
        <v>0</v>
      </c>
      <c r="Y73" s="16">
        <v>100</v>
      </c>
      <c r="Z73" s="14">
        <v>0</v>
      </c>
      <c r="AA73" s="15">
        <v>0</v>
      </c>
      <c r="AB73" s="16">
        <v>0</v>
      </c>
      <c r="AC73" s="14">
        <v>56848</v>
      </c>
      <c r="AD73" s="19">
        <v>0</v>
      </c>
      <c r="AE73" s="16">
        <v>0</v>
      </c>
      <c r="AF73" s="14">
        <v>0</v>
      </c>
      <c r="AG73" s="14">
        <v>0</v>
      </c>
      <c r="AH73" s="19">
        <v>0</v>
      </c>
      <c r="AI73" s="16">
        <v>0</v>
      </c>
      <c r="AJ73" s="14">
        <v>0</v>
      </c>
      <c r="AK73" s="14">
        <v>0</v>
      </c>
      <c r="AL73" s="19">
        <v>0</v>
      </c>
      <c r="AM73" s="16">
        <v>0</v>
      </c>
      <c r="AN73" s="14">
        <v>0</v>
      </c>
      <c r="AO73" s="14">
        <v>0</v>
      </c>
      <c r="AP73" s="15">
        <v>0</v>
      </c>
      <c r="AQ73" s="16">
        <v>57085</v>
      </c>
      <c r="AR73" s="14">
        <v>57240</v>
      </c>
      <c r="AS73" s="15">
        <v>100.27</v>
      </c>
      <c r="AT73" s="16">
        <v>286689</v>
      </c>
      <c r="AU73" s="14">
        <v>517</v>
      </c>
      <c r="AV73" s="19">
        <v>0.18</v>
      </c>
    </row>
    <row r="74" spans="1:48" ht="15.75" x14ac:dyDescent="0.25">
      <c r="A74" s="75"/>
      <c r="B74" s="64"/>
      <c r="C74" s="14">
        <v>16</v>
      </c>
      <c r="D74" s="15" t="s">
        <v>46</v>
      </c>
      <c r="E74" s="16">
        <v>39231</v>
      </c>
      <c r="F74" s="14">
        <v>38.31</v>
      </c>
      <c r="G74" s="11">
        <f t="shared" si="6"/>
        <v>101.83</v>
      </c>
      <c r="H74" s="16">
        <v>16</v>
      </c>
      <c r="I74" s="17">
        <v>112</v>
      </c>
      <c r="J74" s="14">
        <f t="shared" si="7"/>
        <v>100</v>
      </c>
      <c r="K74" s="18">
        <v>140</v>
      </c>
      <c r="L74" s="16">
        <v>0</v>
      </c>
      <c r="M74" s="14">
        <v>0</v>
      </c>
      <c r="N74" s="14">
        <v>112</v>
      </c>
      <c r="O74" s="14">
        <v>0</v>
      </c>
      <c r="P74" s="19">
        <v>0</v>
      </c>
      <c r="Q74" s="16">
        <v>0</v>
      </c>
      <c r="R74" s="14">
        <v>0</v>
      </c>
      <c r="S74" s="14">
        <v>100</v>
      </c>
      <c r="T74" s="14">
        <v>0</v>
      </c>
      <c r="U74" s="15">
        <v>0</v>
      </c>
      <c r="V74" s="16">
        <v>112</v>
      </c>
      <c r="W74" s="14">
        <v>0</v>
      </c>
      <c r="X74" s="19">
        <v>0</v>
      </c>
      <c r="Y74" s="16">
        <v>100</v>
      </c>
      <c r="Z74" s="14">
        <v>0</v>
      </c>
      <c r="AA74" s="15">
        <v>0</v>
      </c>
      <c r="AB74" s="16">
        <v>0</v>
      </c>
      <c r="AC74" s="14">
        <v>112</v>
      </c>
      <c r="AD74" s="19">
        <v>0</v>
      </c>
      <c r="AE74" s="16">
        <v>0</v>
      </c>
      <c r="AF74" s="14">
        <v>0</v>
      </c>
      <c r="AG74" s="14">
        <v>0</v>
      </c>
      <c r="AH74" s="19">
        <v>0</v>
      </c>
      <c r="AI74" s="16">
        <v>0</v>
      </c>
      <c r="AJ74" s="14">
        <v>0</v>
      </c>
      <c r="AK74" s="14">
        <v>0</v>
      </c>
      <c r="AL74" s="19">
        <v>0</v>
      </c>
      <c r="AM74" s="16">
        <v>0</v>
      </c>
      <c r="AN74" s="14">
        <v>0</v>
      </c>
      <c r="AO74" s="14">
        <v>0</v>
      </c>
      <c r="AP74" s="15">
        <v>0</v>
      </c>
      <c r="AQ74" s="16">
        <v>1008</v>
      </c>
      <c r="AR74" s="14">
        <v>1191</v>
      </c>
      <c r="AS74" s="15">
        <v>118.15</v>
      </c>
      <c r="AT74" s="16">
        <v>7583</v>
      </c>
      <c r="AU74" s="14">
        <v>516</v>
      </c>
      <c r="AV74" s="19">
        <v>6.8</v>
      </c>
    </row>
    <row r="75" spans="1:48" ht="15.75" x14ac:dyDescent="0.25">
      <c r="A75" s="75"/>
      <c r="B75" s="64"/>
      <c r="C75" s="14">
        <v>17</v>
      </c>
      <c r="D75" s="15" t="s">
        <v>47</v>
      </c>
      <c r="E75" s="16">
        <v>43886</v>
      </c>
      <c r="F75" s="14">
        <v>42.86</v>
      </c>
      <c r="G75" s="11">
        <f t="shared" si="6"/>
        <v>101.2</v>
      </c>
      <c r="H75" s="16">
        <v>113</v>
      </c>
      <c r="I75" s="17">
        <v>213</v>
      </c>
      <c r="J75" s="14">
        <f t="shared" si="7"/>
        <v>100</v>
      </c>
      <c r="K75" s="18">
        <v>176</v>
      </c>
      <c r="L75" s="16">
        <v>0</v>
      </c>
      <c r="M75" s="14">
        <v>4</v>
      </c>
      <c r="N75" s="14">
        <v>39</v>
      </c>
      <c r="O75" s="14">
        <v>170</v>
      </c>
      <c r="P75" s="19">
        <v>0</v>
      </c>
      <c r="Q75" s="16">
        <v>0</v>
      </c>
      <c r="R75" s="14">
        <v>1.88</v>
      </c>
      <c r="S75" s="14">
        <v>18.309999999999999</v>
      </c>
      <c r="T75" s="14">
        <v>79.81</v>
      </c>
      <c r="U75" s="15">
        <v>0</v>
      </c>
      <c r="V75" s="16">
        <v>213</v>
      </c>
      <c r="W75" s="14">
        <v>0</v>
      </c>
      <c r="X75" s="19">
        <v>0</v>
      </c>
      <c r="Y75" s="16">
        <v>100</v>
      </c>
      <c r="Z75" s="14">
        <v>0</v>
      </c>
      <c r="AA75" s="15">
        <v>0</v>
      </c>
      <c r="AB75" s="16">
        <v>39</v>
      </c>
      <c r="AC75" s="14">
        <v>213</v>
      </c>
      <c r="AD75" s="19">
        <v>18.309999999999999</v>
      </c>
      <c r="AE75" s="16">
        <v>0</v>
      </c>
      <c r="AF75" s="14">
        <v>0</v>
      </c>
      <c r="AG75" s="14">
        <v>0</v>
      </c>
      <c r="AH75" s="19">
        <v>39</v>
      </c>
      <c r="AI75" s="16">
        <v>0</v>
      </c>
      <c r="AJ75" s="14">
        <v>0</v>
      </c>
      <c r="AK75" s="14">
        <v>0</v>
      </c>
      <c r="AL75" s="19">
        <v>100</v>
      </c>
      <c r="AM75" s="16">
        <v>0</v>
      </c>
      <c r="AN75" s="14">
        <v>0</v>
      </c>
      <c r="AO75" s="14">
        <v>0</v>
      </c>
      <c r="AP75" s="15">
        <v>18.309999999999999</v>
      </c>
      <c r="AQ75" s="16">
        <v>1075</v>
      </c>
      <c r="AR75" s="14">
        <v>1264</v>
      </c>
      <c r="AS75" s="15">
        <v>117.58</v>
      </c>
      <c r="AT75" s="16">
        <v>7000</v>
      </c>
      <c r="AU75" s="14">
        <v>529</v>
      </c>
      <c r="AV75" s="19">
        <v>7.56</v>
      </c>
    </row>
    <row r="76" spans="1:48" ht="16.5" thickBot="1" x14ac:dyDescent="0.3">
      <c r="A76" s="75"/>
      <c r="B76" s="65"/>
      <c r="C76" s="20">
        <v>21</v>
      </c>
      <c r="D76" s="21" t="s">
        <v>51</v>
      </c>
      <c r="E76" s="22">
        <v>15729</v>
      </c>
      <c r="F76" s="20">
        <v>15.36</v>
      </c>
      <c r="G76" s="11">
        <f t="shared" si="6"/>
        <v>89.82</v>
      </c>
      <c r="H76" s="22">
        <v>17</v>
      </c>
      <c r="I76" s="24">
        <v>27</v>
      </c>
      <c r="J76" s="20">
        <f t="shared" si="7"/>
        <v>100</v>
      </c>
      <c r="K76" s="25">
        <v>26</v>
      </c>
      <c r="L76" s="22">
        <v>2</v>
      </c>
      <c r="M76" s="20">
        <v>0</v>
      </c>
      <c r="N76" s="20">
        <v>25</v>
      </c>
      <c r="O76" s="20">
        <v>0</v>
      </c>
      <c r="P76" s="27">
        <v>0</v>
      </c>
      <c r="Q76" s="22">
        <v>7.41</v>
      </c>
      <c r="R76" s="20">
        <v>0</v>
      </c>
      <c r="S76" s="20">
        <v>92.59</v>
      </c>
      <c r="T76" s="20">
        <v>0</v>
      </c>
      <c r="U76" s="21">
        <v>0</v>
      </c>
      <c r="V76" s="22">
        <v>27</v>
      </c>
      <c r="W76" s="20">
        <v>0</v>
      </c>
      <c r="X76" s="27">
        <v>0</v>
      </c>
      <c r="Y76" s="22">
        <v>100</v>
      </c>
      <c r="Z76" s="20">
        <v>0</v>
      </c>
      <c r="AA76" s="21">
        <v>0</v>
      </c>
      <c r="AB76" s="22">
        <v>2</v>
      </c>
      <c r="AC76" s="20">
        <v>27</v>
      </c>
      <c r="AD76" s="27">
        <v>7.41</v>
      </c>
      <c r="AE76" s="22">
        <v>0</v>
      </c>
      <c r="AF76" s="20">
        <v>1</v>
      </c>
      <c r="AG76" s="20">
        <v>0</v>
      </c>
      <c r="AH76" s="27">
        <v>1</v>
      </c>
      <c r="AI76" s="22">
        <v>0</v>
      </c>
      <c r="AJ76" s="20">
        <v>50</v>
      </c>
      <c r="AK76" s="20">
        <v>0</v>
      </c>
      <c r="AL76" s="27">
        <v>50</v>
      </c>
      <c r="AM76" s="22">
        <v>0</v>
      </c>
      <c r="AN76" s="20">
        <v>3.7</v>
      </c>
      <c r="AO76" s="20">
        <v>0</v>
      </c>
      <c r="AP76" s="21">
        <v>3.7</v>
      </c>
      <c r="AQ76" s="22">
        <v>1335</v>
      </c>
      <c r="AR76" s="20">
        <v>1478</v>
      </c>
      <c r="AS76" s="21">
        <v>110.71</v>
      </c>
      <c r="AT76" s="22">
        <v>8219</v>
      </c>
      <c r="AU76" s="20">
        <v>516</v>
      </c>
      <c r="AV76" s="27">
        <v>6.28</v>
      </c>
    </row>
    <row r="77" spans="1:48" ht="16.5" thickBot="1" x14ac:dyDescent="0.3">
      <c r="A77" s="28"/>
      <c r="B77" s="29"/>
      <c r="C77" s="34"/>
      <c r="D77" s="31"/>
      <c r="E77" s="36"/>
      <c r="F77" s="34"/>
      <c r="G77" s="30"/>
      <c r="H77" s="33"/>
      <c r="I77" s="30"/>
      <c r="J77" s="34"/>
      <c r="K77" s="29"/>
      <c r="L77" s="33"/>
      <c r="M77" s="34"/>
      <c r="N77" s="34"/>
      <c r="O77" s="34"/>
      <c r="P77" s="35"/>
      <c r="Q77" s="36"/>
      <c r="R77" s="34"/>
      <c r="S77" s="34"/>
      <c r="T77" s="34"/>
      <c r="U77" s="31"/>
      <c r="V77" s="36"/>
      <c r="W77" s="34"/>
      <c r="X77" s="35"/>
      <c r="Y77" s="36"/>
      <c r="Z77" s="34"/>
      <c r="AA77" s="31"/>
      <c r="AB77" s="36"/>
      <c r="AC77" s="34"/>
      <c r="AD77" s="35"/>
      <c r="AE77" s="36"/>
      <c r="AF77" s="34"/>
      <c r="AG77" s="34"/>
      <c r="AH77" s="35"/>
      <c r="AI77" s="36"/>
      <c r="AJ77" s="34"/>
      <c r="AK77" s="34"/>
      <c r="AL77" s="35"/>
      <c r="AM77" s="36"/>
      <c r="AN77" s="34"/>
      <c r="AO77" s="34"/>
      <c r="AP77" s="31"/>
      <c r="AQ77" s="36"/>
      <c r="AR77" s="34"/>
      <c r="AS77" s="31"/>
      <c r="AT77" s="36"/>
      <c r="AU77" s="34"/>
      <c r="AV77" s="35"/>
    </row>
    <row r="78" spans="1:48" ht="15.75" x14ac:dyDescent="0.25">
      <c r="A78" s="75" t="s">
        <v>54</v>
      </c>
      <c r="B78" s="66">
        <v>16</v>
      </c>
      <c r="C78" s="10">
        <v>1</v>
      </c>
      <c r="D78" s="11" t="s">
        <v>31</v>
      </c>
      <c r="E78" s="9">
        <v>518016</v>
      </c>
      <c r="F78" s="10">
        <v>505.88</v>
      </c>
      <c r="G78" s="11">
        <f>ROUND( F78 / _xlfn.XLOOKUP(D78, $D$4:$D$24, $F$4:$F$24) * 100, 2 )</f>
        <v>100.22</v>
      </c>
      <c r="H78" s="9">
        <v>82</v>
      </c>
      <c r="I78" s="39">
        <v>267</v>
      </c>
      <c r="J78" s="10">
        <f>ROUND( I78 / _xlfn.XLOOKUP(D78, $D$4:$D$24, $I$4:$I$24) * 100, 2 )</f>
        <v>100</v>
      </c>
      <c r="K78" s="40">
        <v>219</v>
      </c>
      <c r="L78" s="9">
        <v>0</v>
      </c>
      <c r="M78" s="10">
        <v>18</v>
      </c>
      <c r="N78" s="10">
        <v>232</v>
      </c>
      <c r="O78" s="10">
        <v>17</v>
      </c>
      <c r="P78" s="13">
        <v>0</v>
      </c>
      <c r="Q78" s="9">
        <v>0</v>
      </c>
      <c r="R78" s="10">
        <v>6.74</v>
      </c>
      <c r="S78" s="10">
        <v>86.89</v>
      </c>
      <c r="T78" s="10">
        <v>6.37</v>
      </c>
      <c r="U78" s="11">
        <v>0</v>
      </c>
      <c r="V78" s="9">
        <v>238</v>
      </c>
      <c r="W78" s="10">
        <v>0</v>
      </c>
      <c r="X78" s="13">
        <v>29</v>
      </c>
      <c r="Y78" s="9">
        <v>89.14</v>
      </c>
      <c r="Z78" s="10">
        <v>0</v>
      </c>
      <c r="AA78" s="11">
        <v>10.86</v>
      </c>
      <c r="AB78" s="9">
        <v>50</v>
      </c>
      <c r="AC78" s="10">
        <v>267</v>
      </c>
      <c r="AD78" s="13">
        <v>18.73</v>
      </c>
      <c r="AE78" s="9">
        <v>0</v>
      </c>
      <c r="AF78" s="10">
        <v>0</v>
      </c>
      <c r="AG78" s="10">
        <v>0</v>
      </c>
      <c r="AH78" s="13">
        <v>50</v>
      </c>
      <c r="AI78" s="9">
        <v>0</v>
      </c>
      <c r="AJ78" s="10">
        <v>0</v>
      </c>
      <c r="AK78" s="10">
        <v>0</v>
      </c>
      <c r="AL78" s="13">
        <v>100</v>
      </c>
      <c r="AM78" s="9">
        <v>0</v>
      </c>
      <c r="AN78" s="10">
        <v>0</v>
      </c>
      <c r="AO78" s="10">
        <v>0</v>
      </c>
      <c r="AP78" s="11">
        <v>18.73</v>
      </c>
      <c r="AQ78" s="9">
        <v>2058</v>
      </c>
      <c r="AR78" s="10">
        <v>2023</v>
      </c>
      <c r="AS78" s="11">
        <v>98.3</v>
      </c>
      <c r="AT78" s="9">
        <v>13494</v>
      </c>
      <c r="AU78" s="10">
        <v>672</v>
      </c>
      <c r="AV78" s="13">
        <v>4.9800000000000004</v>
      </c>
    </row>
    <row r="79" spans="1:48" ht="15.75" x14ac:dyDescent="0.25">
      <c r="A79" s="75"/>
      <c r="B79" s="64"/>
      <c r="C79" s="14">
        <v>3</v>
      </c>
      <c r="D79" s="15" t="s">
        <v>33</v>
      </c>
      <c r="E79" s="16">
        <v>45846</v>
      </c>
      <c r="F79" s="14">
        <v>44.77</v>
      </c>
      <c r="G79" s="11">
        <f t="shared" ref="G79:G92" si="8">ROUND( F79 / _xlfn.XLOOKUP(D79, $D$4:$D$24, $F$4:$F$24) * 100, 2 )</f>
        <v>102.33</v>
      </c>
      <c r="H79" s="16">
        <v>49</v>
      </c>
      <c r="I79" s="17">
        <v>198</v>
      </c>
      <c r="J79" s="14">
        <f t="shared" ref="J79:J92" si="9">ROUND( I79 / _xlfn.XLOOKUP(D79, $D$4:$D$24, $I$4:$I$24) * 100, 2 )</f>
        <v>100</v>
      </c>
      <c r="K79" s="18">
        <v>132</v>
      </c>
      <c r="L79" s="16">
        <v>0</v>
      </c>
      <c r="M79" s="14">
        <v>0</v>
      </c>
      <c r="N79" s="14">
        <v>66</v>
      </c>
      <c r="O79" s="14">
        <v>132</v>
      </c>
      <c r="P79" s="19">
        <v>0</v>
      </c>
      <c r="Q79" s="16">
        <v>0</v>
      </c>
      <c r="R79" s="14">
        <v>0</v>
      </c>
      <c r="S79" s="14">
        <v>33.33</v>
      </c>
      <c r="T79" s="14">
        <v>66.67</v>
      </c>
      <c r="U79" s="15">
        <v>0</v>
      </c>
      <c r="V79" s="16">
        <v>198</v>
      </c>
      <c r="W79" s="14">
        <v>0</v>
      </c>
      <c r="X79" s="19">
        <v>0</v>
      </c>
      <c r="Y79" s="16">
        <v>100</v>
      </c>
      <c r="Z79" s="14">
        <v>0</v>
      </c>
      <c r="AA79" s="15">
        <v>0</v>
      </c>
      <c r="AB79" s="16">
        <v>66</v>
      </c>
      <c r="AC79" s="14">
        <v>198</v>
      </c>
      <c r="AD79" s="19">
        <v>33.33</v>
      </c>
      <c r="AE79" s="16">
        <v>0</v>
      </c>
      <c r="AF79" s="14">
        <v>0</v>
      </c>
      <c r="AG79" s="14">
        <v>0</v>
      </c>
      <c r="AH79" s="19">
        <v>66</v>
      </c>
      <c r="AI79" s="16">
        <v>0</v>
      </c>
      <c r="AJ79" s="14">
        <v>0</v>
      </c>
      <c r="AK79" s="14">
        <v>0</v>
      </c>
      <c r="AL79" s="19">
        <v>100</v>
      </c>
      <c r="AM79" s="16">
        <v>0</v>
      </c>
      <c r="AN79" s="14">
        <v>0</v>
      </c>
      <c r="AO79" s="14">
        <v>0</v>
      </c>
      <c r="AP79" s="15">
        <v>33.33</v>
      </c>
      <c r="AQ79" s="16">
        <v>746</v>
      </c>
      <c r="AR79" s="14">
        <v>831</v>
      </c>
      <c r="AS79" s="15">
        <v>111.39</v>
      </c>
      <c r="AT79" s="16">
        <v>5090</v>
      </c>
      <c r="AU79" s="14">
        <v>676</v>
      </c>
      <c r="AV79" s="19">
        <v>13.28</v>
      </c>
    </row>
    <row r="80" spans="1:48" ht="15.75" x14ac:dyDescent="0.25">
      <c r="A80" s="75"/>
      <c r="B80" s="64"/>
      <c r="C80" s="14">
        <v>4</v>
      </c>
      <c r="D80" s="15" t="s">
        <v>34</v>
      </c>
      <c r="E80" s="16">
        <v>2624859</v>
      </c>
      <c r="F80" s="14">
        <v>2563.34</v>
      </c>
      <c r="G80" s="11">
        <f t="shared" si="8"/>
        <v>100.06</v>
      </c>
      <c r="H80" s="16">
        <v>313</v>
      </c>
      <c r="I80" s="17">
        <v>736</v>
      </c>
      <c r="J80" s="14">
        <f t="shared" si="9"/>
        <v>100</v>
      </c>
      <c r="K80" s="18">
        <v>652</v>
      </c>
      <c r="L80" s="16">
        <v>0</v>
      </c>
      <c r="M80" s="14">
        <v>593</v>
      </c>
      <c r="N80" s="14">
        <v>112</v>
      </c>
      <c r="O80" s="14">
        <v>31</v>
      </c>
      <c r="P80" s="19">
        <v>0</v>
      </c>
      <c r="Q80" s="16">
        <v>0</v>
      </c>
      <c r="R80" s="14">
        <v>80.569999999999993</v>
      </c>
      <c r="S80" s="14">
        <v>15.22</v>
      </c>
      <c r="T80" s="14">
        <v>4.21</v>
      </c>
      <c r="U80" s="15">
        <v>0</v>
      </c>
      <c r="V80" s="16">
        <v>736</v>
      </c>
      <c r="W80" s="14">
        <v>0</v>
      </c>
      <c r="X80" s="19">
        <v>0</v>
      </c>
      <c r="Y80" s="16">
        <v>100</v>
      </c>
      <c r="Z80" s="14">
        <v>0</v>
      </c>
      <c r="AA80" s="15">
        <v>0</v>
      </c>
      <c r="AB80" s="16">
        <v>55</v>
      </c>
      <c r="AC80" s="14">
        <v>736</v>
      </c>
      <c r="AD80" s="19">
        <v>7.47</v>
      </c>
      <c r="AE80" s="16">
        <v>1</v>
      </c>
      <c r="AF80" s="14">
        <v>2</v>
      </c>
      <c r="AG80" s="14">
        <v>21</v>
      </c>
      <c r="AH80" s="19">
        <v>31</v>
      </c>
      <c r="AI80" s="16">
        <v>1.82</v>
      </c>
      <c r="AJ80" s="14">
        <v>3.64</v>
      </c>
      <c r="AK80" s="14">
        <v>38.18</v>
      </c>
      <c r="AL80" s="19">
        <v>56.36</v>
      </c>
      <c r="AM80" s="16">
        <v>0.14000000000000001</v>
      </c>
      <c r="AN80" s="14">
        <v>0.27</v>
      </c>
      <c r="AO80" s="14">
        <v>2.85</v>
      </c>
      <c r="AP80" s="15">
        <v>4.21</v>
      </c>
      <c r="AQ80" s="16">
        <v>5532</v>
      </c>
      <c r="AR80" s="14">
        <v>5694</v>
      </c>
      <c r="AS80" s="15">
        <v>102.93</v>
      </c>
      <c r="AT80" s="16">
        <v>36901</v>
      </c>
      <c r="AU80" s="14">
        <v>694</v>
      </c>
      <c r="AV80" s="19">
        <v>1.88</v>
      </c>
    </row>
    <row r="81" spans="1:48" ht="15.75" x14ac:dyDescent="0.25">
      <c r="A81" s="75"/>
      <c r="B81" s="64"/>
      <c r="C81" s="14">
        <v>6</v>
      </c>
      <c r="D81" s="15" t="s">
        <v>36</v>
      </c>
      <c r="E81" s="16">
        <v>40948</v>
      </c>
      <c r="F81" s="14">
        <v>39.99</v>
      </c>
      <c r="G81" s="11">
        <f t="shared" si="8"/>
        <v>102.41</v>
      </c>
      <c r="H81" s="16">
        <v>77</v>
      </c>
      <c r="I81" s="17">
        <v>94</v>
      </c>
      <c r="J81" s="14">
        <f t="shared" si="9"/>
        <v>100</v>
      </c>
      <c r="K81" s="18">
        <v>90</v>
      </c>
      <c r="L81" s="16">
        <v>0</v>
      </c>
      <c r="M81" s="14">
        <v>0</v>
      </c>
      <c r="N81" s="14">
        <v>80</v>
      </c>
      <c r="O81" s="14">
        <v>14</v>
      </c>
      <c r="P81" s="19">
        <v>0</v>
      </c>
      <c r="Q81" s="16">
        <v>0</v>
      </c>
      <c r="R81" s="14">
        <v>0</v>
      </c>
      <c r="S81" s="14">
        <v>85.11</v>
      </c>
      <c r="T81" s="14">
        <v>14.89</v>
      </c>
      <c r="U81" s="15">
        <v>0</v>
      </c>
      <c r="V81" s="16">
        <v>94</v>
      </c>
      <c r="W81" s="14">
        <v>0</v>
      </c>
      <c r="X81" s="19">
        <v>0</v>
      </c>
      <c r="Y81" s="16">
        <v>100</v>
      </c>
      <c r="Z81" s="14">
        <v>0</v>
      </c>
      <c r="AA81" s="15">
        <v>0</v>
      </c>
      <c r="AB81" s="16">
        <v>7</v>
      </c>
      <c r="AC81" s="14">
        <v>94</v>
      </c>
      <c r="AD81" s="19">
        <v>7.45</v>
      </c>
      <c r="AE81" s="16">
        <v>0</v>
      </c>
      <c r="AF81" s="14">
        <v>0</v>
      </c>
      <c r="AG81" s="14">
        <v>3</v>
      </c>
      <c r="AH81" s="19">
        <v>4</v>
      </c>
      <c r="AI81" s="16">
        <v>0</v>
      </c>
      <c r="AJ81" s="14">
        <v>0</v>
      </c>
      <c r="AK81" s="14">
        <v>42.86</v>
      </c>
      <c r="AL81" s="19">
        <v>57.14</v>
      </c>
      <c r="AM81" s="16">
        <v>0</v>
      </c>
      <c r="AN81" s="14">
        <v>0</v>
      </c>
      <c r="AO81" s="14">
        <v>3.19</v>
      </c>
      <c r="AP81" s="15">
        <v>4.26</v>
      </c>
      <c r="AQ81" s="16">
        <v>725</v>
      </c>
      <c r="AR81" s="14">
        <v>688</v>
      </c>
      <c r="AS81" s="15">
        <v>94.9</v>
      </c>
      <c r="AT81" s="16">
        <v>4376</v>
      </c>
      <c r="AU81" s="14">
        <v>666</v>
      </c>
      <c r="AV81" s="19">
        <v>15.22</v>
      </c>
    </row>
    <row r="82" spans="1:48" ht="15.75" x14ac:dyDescent="0.25">
      <c r="A82" s="75"/>
      <c r="B82" s="64"/>
      <c r="C82" s="14">
        <v>7</v>
      </c>
      <c r="D82" s="15" t="s">
        <v>37</v>
      </c>
      <c r="E82" s="16">
        <v>43390</v>
      </c>
      <c r="F82" s="14">
        <v>42.37</v>
      </c>
      <c r="G82" s="11">
        <f t="shared" si="8"/>
        <v>102.1</v>
      </c>
      <c r="H82" s="16">
        <v>55</v>
      </c>
      <c r="I82" s="17">
        <v>175</v>
      </c>
      <c r="J82" s="14">
        <f t="shared" si="9"/>
        <v>100</v>
      </c>
      <c r="K82" s="18">
        <v>163</v>
      </c>
      <c r="L82" s="16">
        <v>0</v>
      </c>
      <c r="M82" s="14">
        <v>152</v>
      </c>
      <c r="N82" s="14">
        <v>21</v>
      </c>
      <c r="O82" s="14">
        <v>2</v>
      </c>
      <c r="P82" s="19">
        <v>0</v>
      </c>
      <c r="Q82" s="16">
        <v>0</v>
      </c>
      <c r="R82" s="14">
        <v>86.86</v>
      </c>
      <c r="S82" s="14">
        <v>12</v>
      </c>
      <c r="T82" s="14">
        <v>1.1399999999999999</v>
      </c>
      <c r="U82" s="15">
        <v>0</v>
      </c>
      <c r="V82" s="16">
        <v>175</v>
      </c>
      <c r="W82" s="14">
        <v>0</v>
      </c>
      <c r="X82" s="19">
        <v>0</v>
      </c>
      <c r="Y82" s="16">
        <v>100</v>
      </c>
      <c r="Z82" s="14">
        <v>0</v>
      </c>
      <c r="AA82" s="15">
        <v>0</v>
      </c>
      <c r="AB82" s="16">
        <v>12</v>
      </c>
      <c r="AC82" s="14">
        <v>175</v>
      </c>
      <c r="AD82" s="19">
        <v>6.86</v>
      </c>
      <c r="AE82" s="16">
        <v>0</v>
      </c>
      <c r="AF82" s="14">
        <v>0</v>
      </c>
      <c r="AG82" s="14">
        <v>0</v>
      </c>
      <c r="AH82" s="19">
        <v>12</v>
      </c>
      <c r="AI82" s="16">
        <v>0</v>
      </c>
      <c r="AJ82" s="14">
        <v>0</v>
      </c>
      <c r="AK82" s="14">
        <v>0</v>
      </c>
      <c r="AL82" s="19">
        <v>100</v>
      </c>
      <c r="AM82" s="16">
        <v>0</v>
      </c>
      <c r="AN82" s="14">
        <v>0</v>
      </c>
      <c r="AO82" s="14">
        <v>0</v>
      </c>
      <c r="AP82" s="15">
        <v>6.86</v>
      </c>
      <c r="AQ82" s="16">
        <v>1617</v>
      </c>
      <c r="AR82" s="14">
        <v>1672</v>
      </c>
      <c r="AS82" s="15">
        <v>103.4</v>
      </c>
      <c r="AT82" s="16">
        <v>9886</v>
      </c>
      <c r="AU82" s="14">
        <v>702</v>
      </c>
      <c r="AV82" s="19">
        <v>7.1</v>
      </c>
    </row>
    <row r="83" spans="1:48" ht="15.75" x14ac:dyDescent="0.25">
      <c r="A83" s="75"/>
      <c r="B83" s="64"/>
      <c r="C83" s="14">
        <v>8</v>
      </c>
      <c r="D83" s="15" t="s">
        <v>38</v>
      </c>
      <c r="E83" s="16">
        <v>170602</v>
      </c>
      <c r="F83" s="14">
        <v>166.6</v>
      </c>
      <c r="G83" s="11">
        <f t="shared" si="8"/>
        <v>100.49</v>
      </c>
      <c r="H83" s="16">
        <v>37</v>
      </c>
      <c r="I83" s="17">
        <v>164</v>
      </c>
      <c r="J83" s="14">
        <f t="shared" si="9"/>
        <v>100</v>
      </c>
      <c r="K83" s="18">
        <v>113</v>
      </c>
      <c r="L83" s="16">
        <v>3</v>
      </c>
      <c r="M83" s="14">
        <v>19</v>
      </c>
      <c r="N83" s="14">
        <v>142</v>
      </c>
      <c r="O83" s="14">
        <v>0</v>
      </c>
      <c r="P83" s="19">
        <v>0</v>
      </c>
      <c r="Q83" s="16">
        <v>1.83</v>
      </c>
      <c r="R83" s="14">
        <v>11.59</v>
      </c>
      <c r="S83" s="14">
        <v>86.59</v>
      </c>
      <c r="T83" s="14">
        <v>0</v>
      </c>
      <c r="U83" s="15">
        <v>0</v>
      </c>
      <c r="V83" s="16">
        <v>129</v>
      </c>
      <c r="W83" s="14">
        <v>7</v>
      </c>
      <c r="X83" s="19">
        <v>28</v>
      </c>
      <c r="Y83" s="16">
        <v>78.66</v>
      </c>
      <c r="Z83" s="14">
        <v>4.2699999999999996</v>
      </c>
      <c r="AA83" s="15">
        <v>17.07</v>
      </c>
      <c r="AB83" s="16">
        <v>66</v>
      </c>
      <c r="AC83" s="14">
        <v>164</v>
      </c>
      <c r="AD83" s="19">
        <v>40.24</v>
      </c>
      <c r="AE83" s="16">
        <v>0</v>
      </c>
      <c r="AF83" s="14">
        <v>0</v>
      </c>
      <c r="AG83" s="14">
        <v>0</v>
      </c>
      <c r="AH83" s="19">
        <v>66</v>
      </c>
      <c r="AI83" s="16">
        <v>0</v>
      </c>
      <c r="AJ83" s="14">
        <v>0</v>
      </c>
      <c r="AK83" s="14">
        <v>0</v>
      </c>
      <c r="AL83" s="19">
        <v>100</v>
      </c>
      <c r="AM83" s="16">
        <v>0</v>
      </c>
      <c r="AN83" s="14">
        <v>0</v>
      </c>
      <c r="AO83" s="14">
        <v>0</v>
      </c>
      <c r="AP83" s="15">
        <v>40.24</v>
      </c>
      <c r="AQ83" s="16">
        <v>734</v>
      </c>
      <c r="AR83" s="14">
        <v>735</v>
      </c>
      <c r="AS83" s="15">
        <v>100.14</v>
      </c>
      <c r="AT83" s="16">
        <v>4683</v>
      </c>
      <c r="AU83" s="14">
        <v>677</v>
      </c>
      <c r="AV83" s="19">
        <v>14.46</v>
      </c>
    </row>
    <row r="84" spans="1:48" ht="15.75" x14ac:dyDescent="0.25">
      <c r="A84" s="75"/>
      <c r="B84" s="64"/>
      <c r="C84" s="14">
        <v>9</v>
      </c>
      <c r="D84" s="15" t="s">
        <v>39</v>
      </c>
      <c r="E84" s="16">
        <v>10938935</v>
      </c>
      <c r="F84" s="14">
        <v>10682.55</v>
      </c>
      <c r="G84" s="11">
        <f t="shared" si="8"/>
        <v>100.01</v>
      </c>
      <c r="H84" s="16">
        <v>726</v>
      </c>
      <c r="I84" s="17">
        <v>1903</v>
      </c>
      <c r="J84" s="14">
        <f t="shared" si="9"/>
        <v>100</v>
      </c>
      <c r="K84" s="18">
        <v>1734</v>
      </c>
      <c r="L84" s="16">
        <v>18</v>
      </c>
      <c r="M84" s="14">
        <v>22</v>
      </c>
      <c r="N84" s="14">
        <v>1508</v>
      </c>
      <c r="O84" s="14">
        <v>355</v>
      </c>
      <c r="P84" s="19">
        <v>0</v>
      </c>
      <c r="Q84" s="16">
        <v>0.95</v>
      </c>
      <c r="R84" s="14">
        <v>1.1599999999999999</v>
      </c>
      <c r="S84" s="14">
        <v>79.239999999999995</v>
      </c>
      <c r="T84" s="14">
        <v>18.649999999999999</v>
      </c>
      <c r="U84" s="15">
        <v>0</v>
      </c>
      <c r="V84" s="16">
        <v>1089</v>
      </c>
      <c r="W84" s="14">
        <v>10</v>
      </c>
      <c r="X84" s="19">
        <v>804</v>
      </c>
      <c r="Y84" s="16">
        <v>57.23</v>
      </c>
      <c r="Z84" s="14">
        <v>0.53</v>
      </c>
      <c r="AA84" s="15">
        <v>42.25</v>
      </c>
      <c r="AB84" s="16">
        <v>187</v>
      </c>
      <c r="AC84" s="14">
        <v>1903</v>
      </c>
      <c r="AD84" s="19">
        <v>9.83</v>
      </c>
      <c r="AE84" s="16">
        <v>0</v>
      </c>
      <c r="AF84" s="14">
        <v>0</v>
      </c>
      <c r="AG84" s="14">
        <v>10</v>
      </c>
      <c r="AH84" s="19">
        <v>177</v>
      </c>
      <c r="AI84" s="16">
        <v>0</v>
      </c>
      <c r="AJ84" s="14">
        <v>0</v>
      </c>
      <c r="AK84" s="14">
        <v>5.35</v>
      </c>
      <c r="AL84" s="19">
        <v>94.65</v>
      </c>
      <c r="AM84" s="16">
        <v>0</v>
      </c>
      <c r="AN84" s="14">
        <v>0</v>
      </c>
      <c r="AO84" s="14">
        <v>0.53</v>
      </c>
      <c r="AP84" s="15">
        <v>9.3000000000000007</v>
      </c>
      <c r="AQ84" s="16">
        <v>10762</v>
      </c>
      <c r="AR84" s="14">
        <v>11036</v>
      </c>
      <c r="AS84" s="15">
        <v>102.55</v>
      </c>
      <c r="AT84" s="16">
        <v>73327</v>
      </c>
      <c r="AU84" s="14">
        <v>3153</v>
      </c>
      <c r="AV84" s="19">
        <v>4.3</v>
      </c>
    </row>
    <row r="85" spans="1:48" ht="15.75" x14ac:dyDescent="0.25">
      <c r="A85" s="75"/>
      <c r="B85" s="64"/>
      <c r="C85" s="14">
        <v>10</v>
      </c>
      <c r="D85" s="15" t="s">
        <v>40</v>
      </c>
      <c r="E85" s="16">
        <v>45031</v>
      </c>
      <c r="F85" s="14">
        <v>43.98</v>
      </c>
      <c r="G85" s="11">
        <f t="shared" si="8"/>
        <v>103.65</v>
      </c>
      <c r="H85" s="16">
        <v>178</v>
      </c>
      <c r="I85" s="17">
        <v>2848</v>
      </c>
      <c r="J85" s="14">
        <f t="shared" si="9"/>
        <v>100</v>
      </c>
      <c r="K85" s="18">
        <v>2848</v>
      </c>
      <c r="L85" s="16">
        <v>0</v>
      </c>
      <c r="M85" s="14">
        <v>0</v>
      </c>
      <c r="N85" s="14">
        <v>2848</v>
      </c>
      <c r="O85" s="14">
        <v>0</v>
      </c>
      <c r="P85" s="19">
        <v>0</v>
      </c>
      <c r="Q85" s="16">
        <v>0</v>
      </c>
      <c r="R85" s="14">
        <v>0</v>
      </c>
      <c r="S85" s="14">
        <v>100</v>
      </c>
      <c r="T85" s="14">
        <v>0</v>
      </c>
      <c r="U85" s="15">
        <v>0</v>
      </c>
      <c r="V85" s="16">
        <v>2848</v>
      </c>
      <c r="W85" s="14">
        <v>0</v>
      </c>
      <c r="X85" s="19">
        <v>0</v>
      </c>
      <c r="Y85" s="16">
        <v>100</v>
      </c>
      <c r="Z85" s="14">
        <v>0</v>
      </c>
      <c r="AA85" s="15">
        <v>0</v>
      </c>
      <c r="AB85" s="16">
        <v>0</v>
      </c>
      <c r="AC85" s="14">
        <v>2848</v>
      </c>
      <c r="AD85" s="19">
        <v>0</v>
      </c>
      <c r="AE85" s="16">
        <v>0</v>
      </c>
      <c r="AF85" s="14">
        <v>0</v>
      </c>
      <c r="AG85" s="14">
        <v>0</v>
      </c>
      <c r="AH85" s="19">
        <v>0</v>
      </c>
      <c r="AI85" s="16">
        <v>0</v>
      </c>
      <c r="AJ85" s="14">
        <v>0</v>
      </c>
      <c r="AK85" s="14">
        <v>0</v>
      </c>
      <c r="AL85" s="19">
        <v>0</v>
      </c>
      <c r="AM85" s="16">
        <v>0</v>
      </c>
      <c r="AN85" s="14">
        <v>0</v>
      </c>
      <c r="AO85" s="14">
        <v>0</v>
      </c>
      <c r="AP85" s="15">
        <v>0</v>
      </c>
      <c r="AQ85" s="16">
        <v>3095</v>
      </c>
      <c r="AR85" s="14">
        <v>3095</v>
      </c>
      <c r="AS85" s="15">
        <v>100</v>
      </c>
      <c r="AT85" s="16">
        <v>15355</v>
      </c>
      <c r="AU85" s="14">
        <v>661</v>
      </c>
      <c r="AV85" s="19">
        <v>4.3</v>
      </c>
    </row>
    <row r="86" spans="1:48" ht="15.75" x14ac:dyDescent="0.25">
      <c r="A86" s="75"/>
      <c r="B86" s="64"/>
      <c r="C86" s="14">
        <v>11</v>
      </c>
      <c r="D86" s="15" t="s">
        <v>41</v>
      </c>
      <c r="E86" s="16">
        <v>52535</v>
      </c>
      <c r="F86" s="14">
        <v>51.3</v>
      </c>
      <c r="G86" s="11">
        <f t="shared" si="8"/>
        <v>101.44</v>
      </c>
      <c r="H86" s="16">
        <v>2100</v>
      </c>
      <c r="I86" s="17">
        <v>35700</v>
      </c>
      <c r="J86" s="14">
        <f t="shared" si="9"/>
        <v>100</v>
      </c>
      <c r="K86" s="18">
        <v>35700</v>
      </c>
      <c r="L86" s="16">
        <v>0</v>
      </c>
      <c r="M86" s="14">
        <v>0</v>
      </c>
      <c r="N86" s="14">
        <v>35700</v>
      </c>
      <c r="O86" s="14">
        <v>0</v>
      </c>
      <c r="P86" s="19">
        <v>0</v>
      </c>
      <c r="Q86" s="16">
        <v>0</v>
      </c>
      <c r="R86" s="14">
        <v>0</v>
      </c>
      <c r="S86" s="14">
        <v>100</v>
      </c>
      <c r="T86" s="14">
        <v>0</v>
      </c>
      <c r="U86" s="15">
        <v>0</v>
      </c>
      <c r="V86" s="16">
        <v>35700</v>
      </c>
      <c r="W86" s="14">
        <v>0</v>
      </c>
      <c r="X86" s="19">
        <v>0</v>
      </c>
      <c r="Y86" s="16">
        <v>100</v>
      </c>
      <c r="Z86" s="14">
        <v>0</v>
      </c>
      <c r="AA86" s="15">
        <v>0</v>
      </c>
      <c r="AB86" s="16">
        <v>0</v>
      </c>
      <c r="AC86" s="14">
        <v>35700</v>
      </c>
      <c r="AD86" s="19">
        <v>0</v>
      </c>
      <c r="AE86" s="16">
        <v>0</v>
      </c>
      <c r="AF86" s="14">
        <v>0</v>
      </c>
      <c r="AG86" s="14">
        <v>0</v>
      </c>
      <c r="AH86" s="19">
        <v>0</v>
      </c>
      <c r="AI86" s="16">
        <v>0</v>
      </c>
      <c r="AJ86" s="14">
        <v>0</v>
      </c>
      <c r="AK86" s="14">
        <v>0</v>
      </c>
      <c r="AL86" s="19">
        <v>0</v>
      </c>
      <c r="AM86" s="16">
        <v>0</v>
      </c>
      <c r="AN86" s="14">
        <v>0</v>
      </c>
      <c r="AO86" s="14">
        <v>0</v>
      </c>
      <c r="AP86" s="15">
        <v>0</v>
      </c>
      <c r="AQ86" s="16">
        <v>35951</v>
      </c>
      <c r="AR86" s="14">
        <v>35951</v>
      </c>
      <c r="AS86" s="15">
        <v>100</v>
      </c>
      <c r="AT86" s="16">
        <v>179609</v>
      </c>
      <c r="AU86" s="14">
        <v>661</v>
      </c>
      <c r="AV86" s="19">
        <v>0.37</v>
      </c>
    </row>
    <row r="87" spans="1:48" ht="15.75" x14ac:dyDescent="0.25">
      <c r="A87" s="75"/>
      <c r="B87" s="64"/>
      <c r="C87" s="14">
        <v>12</v>
      </c>
      <c r="D87" s="15" t="s">
        <v>42</v>
      </c>
      <c r="E87" s="16">
        <v>45377</v>
      </c>
      <c r="F87" s="14">
        <v>44.31</v>
      </c>
      <c r="G87" s="11">
        <f t="shared" si="8"/>
        <v>103.5</v>
      </c>
      <c r="H87" s="16">
        <v>180</v>
      </c>
      <c r="I87" s="17">
        <v>2880</v>
      </c>
      <c r="J87" s="14">
        <f t="shared" si="9"/>
        <v>100</v>
      </c>
      <c r="K87" s="18">
        <v>2880</v>
      </c>
      <c r="L87" s="16">
        <v>0</v>
      </c>
      <c r="M87" s="14">
        <v>0</v>
      </c>
      <c r="N87" s="14">
        <v>2880</v>
      </c>
      <c r="O87" s="14">
        <v>0</v>
      </c>
      <c r="P87" s="19">
        <v>0</v>
      </c>
      <c r="Q87" s="16">
        <v>0</v>
      </c>
      <c r="R87" s="14">
        <v>0</v>
      </c>
      <c r="S87" s="14">
        <v>100</v>
      </c>
      <c r="T87" s="14">
        <v>0</v>
      </c>
      <c r="U87" s="15">
        <v>0</v>
      </c>
      <c r="V87" s="16">
        <v>2880</v>
      </c>
      <c r="W87" s="14">
        <v>0</v>
      </c>
      <c r="X87" s="19">
        <v>0</v>
      </c>
      <c r="Y87" s="16">
        <v>100</v>
      </c>
      <c r="Z87" s="14">
        <v>0</v>
      </c>
      <c r="AA87" s="15">
        <v>0</v>
      </c>
      <c r="AB87" s="16">
        <v>0</v>
      </c>
      <c r="AC87" s="14">
        <v>2880</v>
      </c>
      <c r="AD87" s="19">
        <v>0</v>
      </c>
      <c r="AE87" s="16">
        <v>0</v>
      </c>
      <c r="AF87" s="14">
        <v>0</v>
      </c>
      <c r="AG87" s="14">
        <v>0</v>
      </c>
      <c r="AH87" s="19">
        <v>0</v>
      </c>
      <c r="AI87" s="16">
        <v>0</v>
      </c>
      <c r="AJ87" s="14">
        <v>0</v>
      </c>
      <c r="AK87" s="14">
        <v>0</v>
      </c>
      <c r="AL87" s="19">
        <v>0</v>
      </c>
      <c r="AM87" s="16">
        <v>0</v>
      </c>
      <c r="AN87" s="14">
        <v>0</v>
      </c>
      <c r="AO87" s="14">
        <v>0</v>
      </c>
      <c r="AP87" s="15">
        <v>0</v>
      </c>
      <c r="AQ87" s="16">
        <v>2946</v>
      </c>
      <c r="AR87" s="14">
        <v>2946</v>
      </c>
      <c r="AS87" s="15">
        <v>100</v>
      </c>
      <c r="AT87" s="16">
        <v>14045</v>
      </c>
      <c r="AU87" s="14">
        <v>661</v>
      </c>
      <c r="AV87" s="19">
        <v>4.71</v>
      </c>
    </row>
    <row r="88" spans="1:48" ht="15.75" x14ac:dyDescent="0.25">
      <c r="A88" s="75"/>
      <c r="B88" s="64"/>
      <c r="C88" s="14">
        <v>13</v>
      </c>
      <c r="D88" s="15" t="s">
        <v>43</v>
      </c>
      <c r="E88" s="16">
        <v>58452</v>
      </c>
      <c r="F88" s="14">
        <v>57.08</v>
      </c>
      <c r="G88" s="11">
        <f t="shared" si="8"/>
        <v>101.26</v>
      </c>
      <c r="H88" s="16">
        <v>2992</v>
      </c>
      <c r="I88" s="17">
        <v>56848</v>
      </c>
      <c r="J88" s="14">
        <f t="shared" si="9"/>
        <v>100</v>
      </c>
      <c r="K88" s="18">
        <v>56848</v>
      </c>
      <c r="L88" s="16">
        <v>0</v>
      </c>
      <c r="M88" s="14">
        <v>0</v>
      </c>
      <c r="N88" s="14">
        <v>56848</v>
      </c>
      <c r="O88" s="14">
        <v>0</v>
      </c>
      <c r="P88" s="19">
        <v>0</v>
      </c>
      <c r="Q88" s="16">
        <v>0</v>
      </c>
      <c r="R88" s="14">
        <v>0</v>
      </c>
      <c r="S88" s="14">
        <v>100</v>
      </c>
      <c r="T88" s="14">
        <v>0</v>
      </c>
      <c r="U88" s="15">
        <v>0</v>
      </c>
      <c r="V88" s="16">
        <v>56848</v>
      </c>
      <c r="W88" s="14">
        <v>0</v>
      </c>
      <c r="X88" s="19">
        <v>0</v>
      </c>
      <c r="Y88" s="16">
        <v>100</v>
      </c>
      <c r="Z88" s="14">
        <v>0</v>
      </c>
      <c r="AA88" s="15">
        <v>0</v>
      </c>
      <c r="AB88" s="16">
        <v>0</v>
      </c>
      <c r="AC88" s="14">
        <v>56848</v>
      </c>
      <c r="AD88" s="19">
        <v>0</v>
      </c>
      <c r="AE88" s="16">
        <v>0</v>
      </c>
      <c r="AF88" s="14">
        <v>0</v>
      </c>
      <c r="AG88" s="14">
        <v>0</v>
      </c>
      <c r="AH88" s="19">
        <v>0</v>
      </c>
      <c r="AI88" s="16">
        <v>0</v>
      </c>
      <c r="AJ88" s="14">
        <v>0</v>
      </c>
      <c r="AK88" s="14">
        <v>0</v>
      </c>
      <c r="AL88" s="19">
        <v>0</v>
      </c>
      <c r="AM88" s="16">
        <v>0</v>
      </c>
      <c r="AN88" s="14">
        <v>0</v>
      </c>
      <c r="AO88" s="14">
        <v>0</v>
      </c>
      <c r="AP88" s="15">
        <v>0</v>
      </c>
      <c r="AQ88" s="16">
        <v>57093</v>
      </c>
      <c r="AR88" s="14">
        <v>57093</v>
      </c>
      <c r="AS88" s="15">
        <v>100</v>
      </c>
      <c r="AT88" s="16">
        <v>286345</v>
      </c>
      <c r="AU88" s="14">
        <v>662</v>
      </c>
      <c r="AV88" s="19">
        <v>0.23</v>
      </c>
    </row>
    <row r="89" spans="1:48" ht="15.75" x14ac:dyDescent="0.25">
      <c r="A89" s="75"/>
      <c r="B89" s="64"/>
      <c r="C89" s="14">
        <v>16</v>
      </c>
      <c r="D89" s="15" t="s">
        <v>46</v>
      </c>
      <c r="E89" s="16">
        <v>39855</v>
      </c>
      <c r="F89" s="14">
        <v>38.92</v>
      </c>
      <c r="G89" s="11">
        <f t="shared" si="8"/>
        <v>103.46</v>
      </c>
      <c r="H89" s="16">
        <v>16</v>
      </c>
      <c r="I89" s="17">
        <v>112</v>
      </c>
      <c r="J89" s="14">
        <f t="shared" si="9"/>
        <v>100</v>
      </c>
      <c r="K89" s="18">
        <v>140</v>
      </c>
      <c r="L89" s="16">
        <v>0</v>
      </c>
      <c r="M89" s="14">
        <v>0</v>
      </c>
      <c r="N89" s="14">
        <v>112</v>
      </c>
      <c r="O89" s="14">
        <v>0</v>
      </c>
      <c r="P89" s="19">
        <v>0</v>
      </c>
      <c r="Q89" s="16">
        <v>0</v>
      </c>
      <c r="R89" s="14">
        <v>0</v>
      </c>
      <c r="S89" s="14">
        <v>100</v>
      </c>
      <c r="T89" s="14">
        <v>0</v>
      </c>
      <c r="U89" s="15">
        <v>0</v>
      </c>
      <c r="V89" s="16">
        <v>112</v>
      </c>
      <c r="W89" s="14">
        <v>0</v>
      </c>
      <c r="X89" s="19">
        <v>0</v>
      </c>
      <c r="Y89" s="16">
        <v>100</v>
      </c>
      <c r="Z89" s="14">
        <v>0</v>
      </c>
      <c r="AA89" s="15">
        <v>0</v>
      </c>
      <c r="AB89" s="16">
        <v>0</v>
      </c>
      <c r="AC89" s="14">
        <v>112</v>
      </c>
      <c r="AD89" s="19">
        <v>0</v>
      </c>
      <c r="AE89" s="16">
        <v>0</v>
      </c>
      <c r="AF89" s="14">
        <v>0</v>
      </c>
      <c r="AG89" s="14">
        <v>0</v>
      </c>
      <c r="AH89" s="19">
        <v>0</v>
      </c>
      <c r="AI89" s="16">
        <v>0</v>
      </c>
      <c r="AJ89" s="14">
        <v>0</v>
      </c>
      <c r="AK89" s="14">
        <v>0</v>
      </c>
      <c r="AL89" s="19">
        <v>0</v>
      </c>
      <c r="AM89" s="16">
        <v>0</v>
      </c>
      <c r="AN89" s="14">
        <v>0</v>
      </c>
      <c r="AO89" s="14">
        <v>0</v>
      </c>
      <c r="AP89" s="15">
        <v>0</v>
      </c>
      <c r="AQ89" s="16">
        <v>1017</v>
      </c>
      <c r="AR89" s="14">
        <v>1044</v>
      </c>
      <c r="AS89" s="15">
        <v>102.65</v>
      </c>
      <c r="AT89" s="16">
        <v>7239</v>
      </c>
      <c r="AU89" s="14">
        <v>661</v>
      </c>
      <c r="AV89" s="19">
        <v>9.1300000000000008</v>
      </c>
    </row>
    <row r="90" spans="1:48" ht="15.75" x14ac:dyDescent="0.25">
      <c r="A90" s="75"/>
      <c r="B90" s="64"/>
      <c r="C90" s="14">
        <v>17</v>
      </c>
      <c r="D90" s="15" t="s">
        <v>47</v>
      </c>
      <c r="E90" s="16">
        <v>44485</v>
      </c>
      <c r="F90" s="14">
        <v>43.44</v>
      </c>
      <c r="G90" s="11">
        <f t="shared" si="8"/>
        <v>102.57</v>
      </c>
      <c r="H90" s="16">
        <v>113</v>
      </c>
      <c r="I90" s="17">
        <v>213</v>
      </c>
      <c r="J90" s="14">
        <f t="shared" si="9"/>
        <v>100</v>
      </c>
      <c r="K90" s="18">
        <v>176</v>
      </c>
      <c r="L90" s="16">
        <v>0</v>
      </c>
      <c r="M90" s="14">
        <v>4</v>
      </c>
      <c r="N90" s="14">
        <v>39</v>
      </c>
      <c r="O90" s="14">
        <v>170</v>
      </c>
      <c r="P90" s="19">
        <v>0</v>
      </c>
      <c r="Q90" s="16">
        <v>0</v>
      </c>
      <c r="R90" s="14">
        <v>1.88</v>
      </c>
      <c r="S90" s="14">
        <v>18.309999999999999</v>
      </c>
      <c r="T90" s="14">
        <v>79.81</v>
      </c>
      <c r="U90" s="15">
        <v>0</v>
      </c>
      <c r="V90" s="16">
        <v>213</v>
      </c>
      <c r="W90" s="14">
        <v>0</v>
      </c>
      <c r="X90" s="19">
        <v>0</v>
      </c>
      <c r="Y90" s="16">
        <v>100</v>
      </c>
      <c r="Z90" s="14">
        <v>0</v>
      </c>
      <c r="AA90" s="15">
        <v>0</v>
      </c>
      <c r="AB90" s="16">
        <v>39</v>
      </c>
      <c r="AC90" s="14">
        <v>213</v>
      </c>
      <c r="AD90" s="19">
        <v>18.309999999999999</v>
      </c>
      <c r="AE90" s="16">
        <v>0</v>
      </c>
      <c r="AF90" s="14">
        <v>0</v>
      </c>
      <c r="AG90" s="14">
        <v>0</v>
      </c>
      <c r="AH90" s="19">
        <v>39</v>
      </c>
      <c r="AI90" s="16">
        <v>0</v>
      </c>
      <c r="AJ90" s="14">
        <v>0</v>
      </c>
      <c r="AK90" s="14">
        <v>0</v>
      </c>
      <c r="AL90" s="19">
        <v>100</v>
      </c>
      <c r="AM90" s="16">
        <v>0</v>
      </c>
      <c r="AN90" s="14">
        <v>0</v>
      </c>
      <c r="AO90" s="14">
        <v>0</v>
      </c>
      <c r="AP90" s="15">
        <v>18.309999999999999</v>
      </c>
      <c r="AQ90" s="16">
        <v>1079</v>
      </c>
      <c r="AR90" s="14">
        <v>1117</v>
      </c>
      <c r="AS90" s="15">
        <v>103.52</v>
      </c>
      <c r="AT90" s="16">
        <v>6656</v>
      </c>
      <c r="AU90" s="14">
        <v>674</v>
      </c>
      <c r="AV90" s="19">
        <v>10.130000000000001</v>
      </c>
    </row>
    <row r="91" spans="1:48" ht="15.75" x14ac:dyDescent="0.25">
      <c r="A91" s="75"/>
      <c r="B91" s="64"/>
      <c r="C91" s="14">
        <v>20</v>
      </c>
      <c r="D91" s="15" t="s">
        <v>50</v>
      </c>
      <c r="E91" s="43">
        <v>405834</v>
      </c>
      <c r="F91" s="14">
        <v>396.32</v>
      </c>
      <c r="G91" s="11">
        <f t="shared" si="8"/>
        <v>100.4</v>
      </c>
      <c r="H91" s="16">
        <v>1860</v>
      </c>
      <c r="I91" s="17">
        <v>48360</v>
      </c>
      <c r="J91" s="14">
        <f t="shared" si="9"/>
        <v>100</v>
      </c>
      <c r="K91" s="18">
        <v>49843</v>
      </c>
      <c r="L91" s="16">
        <v>0</v>
      </c>
      <c r="M91" s="14">
        <v>0</v>
      </c>
      <c r="N91" s="14">
        <v>48360</v>
      </c>
      <c r="O91" s="14">
        <v>0</v>
      </c>
      <c r="P91" s="19">
        <v>0</v>
      </c>
      <c r="Q91" s="16">
        <v>0</v>
      </c>
      <c r="R91" s="14">
        <v>0</v>
      </c>
      <c r="S91" s="14">
        <v>100</v>
      </c>
      <c r="T91" s="14">
        <v>0</v>
      </c>
      <c r="U91" s="15">
        <v>0</v>
      </c>
      <c r="V91" s="16">
        <v>48360</v>
      </c>
      <c r="W91" s="14">
        <v>0</v>
      </c>
      <c r="X91" s="19">
        <v>0</v>
      </c>
      <c r="Y91" s="16">
        <v>100</v>
      </c>
      <c r="Z91" s="14">
        <v>0</v>
      </c>
      <c r="AA91" s="15">
        <v>0</v>
      </c>
      <c r="AB91" s="16">
        <v>0</v>
      </c>
      <c r="AC91" s="14">
        <v>48360</v>
      </c>
      <c r="AD91" s="19">
        <v>0</v>
      </c>
      <c r="AE91" s="16">
        <v>0</v>
      </c>
      <c r="AF91" s="14">
        <v>0</v>
      </c>
      <c r="AG91" s="14">
        <v>0</v>
      </c>
      <c r="AH91" s="19">
        <v>0</v>
      </c>
      <c r="AI91" s="16">
        <v>0</v>
      </c>
      <c r="AJ91" s="14">
        <v>0</v>
      </c>
      <c r="AK91" s="14">
        <v>0</v>
      </c>
      <c r="AL91" s="19">
        <v>0</v>
      </c>
      <c r="AM91" s="16">
        <v>0</v>
      </c>
      <c r="AN91" s="14">
        <v>0</v>
      </c>
      <c r="AO91" s="14">
        <v>0</v>
      </c>
      <c r="AP91" s="15">
        <v>0</v>
      </c>
      <c r="AQ91" s="16">
        <v>153170</v>
      </c>
      <c r="AR91" s="14">
        <v>155205</v>
      </c>
      <c r="AS91" s="15">
        <v>101.33</v>
      </c>
      <c r="AT91" s="16">
        <v>1339700</v>
      </c>
      <c r="AU91" s="14">
        <v>1265</v>
      </c>
      <c r="AV91" s="19">
        <v>0.09</v>
      </c>
    </row>
    <row r="92" spans="1:48" ht="16.5" thickBot="1" x14ac:dyDescent="0.3">
      <c r="A92" s="76"/>
      <c r="B92" s="65"/>
      <c r="C92" s="23">
        <v>21</v>
      </c>
      <c r="D92" s="44" t="s">
        <v>51</v>
      </c>
      <c r="E92" s="45">
        <v>16116</v>
      </c>
      <c r="F92" s="23">
        <v>15.74</v>
      </c>
      <c r="G92" s="44">
        <f t="shared" si="8"/>
        <v>92.05</v>
      </c>
      <c r="H92" s="42">
        <v>17</v>
      </c>
      <c r="I92" s="46">
        <v>27</v>
      </c>
      <c r="J92" s="23">
        <f t="shared" si="9"/>
        <v>100</v>
      </c>
      <c r="K92" s="47">
        <v>26</v>
      </c>
      <c r="L92" s="42">
        <v>2</v>
      </c>
      <c r="M92" s="23">
        <v>0</v>
      </c>
      <c r="N92" s="23">
        <v>25</v>
      </c>
      <c r="O92" s="23">
        <v>0</v>
      </c>
      <c r="P92" s="26">
        <v>0</v>
      </c>
      <c r="Q92" s="42">
        <v>7.41</v>
      </c>
      <c r="R92" s="23">
        <v>0</v>
      </c>
      <c r="S92" s="23">
        <v>92.59</v>
      </c>
      <c r="T92" s="23">
        <v>0</v>
      </c>
      <c r="U92" s="44">
        <v>0</v>
      </c>
      <c r="V92" s="42">
        <v>27</v>
      </c>
      <c r="W92" s="23">
        <v>0</v>
      </c>
      <c r="X92" s="26">
        <v>0</v>
      </c>
      <c r="Y92" s="42">
        <v>100</v>
      </c>
      <c r="Z92" s="23">
        <v>0</v>
      </c>
      <c r="AA92" s="44">
        <v>0</v>
      </c>
      <c r="AB92" s="42">
        <v>2</v>
      </c>
      <c r="AC92" s="23">
        <v>27</v>
      </c>
      <c r="AD92" s="26">
        <v>7.41</v>
      </c>
      <c r="AE92" s="42">
        <v>0</v>
      </c>
      <c r="AF92" s="23">
        <v>1</v>
      </c>
      <c r="AG92" s="23">
        <v>0</v>
      </c>
      <c r="AH92" s="26">
        <v>1</v>
      </c>
      <c r="AI92" s="42">
        <v>0</v>
      </c>
      <c r="AJ92" s="23">
        <v>50</v>
      </c>
      <c r="AK92" s="23">
        <v>0</v>
      </c>
      <c r="AL92" s="26">
        <v>50</v>
      </c>
      <c r="AM92" s="42">
        <v>0</v>
      </c>
      <c r="AN92" s="23">
        <v>3.7</v>
      </c>
      <c r="AO92" s="23">
        <v>0</v>
      </c>
      <c r="AP92" s="44">
        <v>3.7</v>
      </c>
      <c r="AQ92" s="42">
        <v>1346</v>
      </c>
      <c r="AR92" s="23">
        <v>1331</v>
      </c>
      <c r="AS92" s="44">
        <v>98.89</v>
      </c>
      <c r="AT92" s="42">
        <v>7875</v>
      </c>
      <c r="AU92" s="23">
        <v>661</v>
      </c>
      <c r="AV92" s="26">
        <v>8.39</v>
      </c>
    </row>
    <row r="93" spans="1:48" x14ac:dyDescent="0.25">
      <c r="G93" s="1"/>
    </row>
  </sheetData>
  <mergeCells count="44">
    <mergeCell ref="A78:A92"/>
    <mergeCell ref="A62:A76"/>
    <mergeCell ref="A1:A3"/>
    <mergeCell ref="C1:C3"/>
    <mergeCell ref="A4:A24"/>
    <mergeCell ref="A26:A41"/>
    <mergeCell ref="A43:A60"/>
    <mergeCell ref="B1:B3"/>
    <mergeCell ref="B62:B76"/>
    <mergeCell ref="B78:B92"/>
    <mergeCell ref="K2:K3"/>
    <mergeCell ref="I2:I3"/>
    <mergeCell ref="B4:B24"/>
    <mergeCell ref="B26:B41"/>
    <mergeCell ref="B43:B60"/>
    <mergeCell ref="D1:D3"/>
    <mergeCell ref="J2:J3"/>
    <mergeCell ref="H1:K1"/>
    <mergeCell ref="E1:G1"/>
    <mergeCell ref="E2:E3"/>
    <mergeCell ref="F2:F3"/>
    <mergeCell ref="G2:G3"/>
    <mergeCell ref="H2:H3"/>
    <mergeCell ref="AT1:AV1"/>
    <mergeCell ref="AQ1:AS1"/>
    <mergeCell ref="AB1:AP1"/>
    <mergeCell ref="V1:AA1"/>
    <mergeCell ref="L1:U1"/>
    <mergeCell ref="AV2:AV3"/>
    <mergeCell ref="L2:P2"/>
    <mergeCell ref="Q2:U2"/>
    <mergeCell ref="V2:X2"/>
    <mergeCell ref="Y2:AA2"/>
    <mergeCell ref="AE2:AH2"/>
    <mergeCell ref="AU2:AU3"/>
    <mergeCell ref="AT2:AT3"/>
    <mergeCell ref="AS2:AS3"/>
    <mergeCell ref="AD2:AD3"/>
    <mergeCell ref="AB2:AB3"/>
    <mergeCell ref="AC2:AC3"/>
    <mergeCell ref="AQ2:AQ3"/>
    <mergeCell ref="AR2:AR3"/>
    <mergeCell ref="AI2:AL2"/>
    <mergeCell ref="AM2:AP2"/>
  </mergeCells>
  <conditionalFormatting sqref="E4:E24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{6FBE4E14-A532-4380-A639-8C17395F19CB}</x14:id>
        </ext>
      </extLst>
    </cfRule>
  </conditionalFormatting>
  <conditionalFormatting sqref="E26:E41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{2ECBBCD8-3FFB-4FB2-8D71-4678C33DFB0C}</x14:id>
        </ext>
      </extLst>
    </cfRule>
  </conditionalFormatting>
  <conditionalFormatting sqref="E43:E60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{A9A0B1E4-E97E-41FD-B6DE-10CE9DF77623}</x14:id>
        </ext>
      </extLst>
    </cfRule>
  </conditionalFormatting>
  <conditionalFormatting sqref="E62:E7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{8A2D97CE-2FA7-4FB1-9666-3215AE00CA46}</x14:id>
        </ext>
      </extLst>
    </cfRule>
  </conditionalFormatting>
  <conditionalFormatting sqref="E78:E9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{532AE1C5-5C76-48F3-BEE0-68BF027A1F9A}</x14:id>
        </ext>
      </extLst>
    </cfRule>
  </conditionalFormatting>
  <conditionalFormatting sqref="F4:F24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{C741C212-2DBB-4C88-8942-A4C5FF5DA7F8}</x14:id>
        </ext>
      </extLst>
    </cfRule>
  </conditionalFormatting>
  <conditionalFormatting sqref="F26:F41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{4EAF31AF-421B-4D74-A3CF-0CBDAC448C8D}</x14:id>
        </ext>
      </extLst>
    </cfRule>
  </conditionalFormatting>
  <conditionalFormatting sqref="F43:F6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{5FA4B896-6675-401E-93AD-A88C51351688}</x14:id>
        </ext>
      </extLst>
    </cfRule>
  </conditionalFormatting>
  <conditionalFormatting sqref="F62:F76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{4B6DB184-0709-4558-91A9-3460339C6667}</x14:id>
        </ext>
      </extLst>
    </cfRule>
  </conditionalFormatting>
  <conditionalFormatting sqref="F78:F9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{5F4157F2-3C91-4372-9EEE-568F01A3E751}</x14:id>
        </ext>
      </extLst>
    </cfRule>
  </conditionalFormatting>
  <conditionalFormatting sqref="G4:G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60 G62:G76 G78:G92 G4:G24 G26:G41">
    <cfRule type="colorScale" priority="3">
      <colorScale>
        <cfvo type="num" val="89"/>
        <cfvo type="num" val="100"/>
        <cfvo type="max"/>
        <color rgb="FFFFEB84"/>
        <color rgb="FF63BE7B"/>
        <color rgb="FFFFEB84"/>
      </colorScale>
    </cfRule>
  </conditionalFormatting>
  <conditionalFormatting sqref="H4:I24 K4:K2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{953DF332-2E5F-4F11-9E96-13E868E68DEF}</x14:id>
        </ext>
      </extLst>
    </cfRule>
  </conditionalFormatting>
  <conditionalFormatting sqref="H26:I41 K26:K41 H43:I60 K43:K60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{3B9E8C02-CBB6-4A33-ADEE-06FEA17A71BC}</x14:id>
        </ext>
      </extLst>
    </cfRule>
  </conditionalFormatting>
  <conditionalFormatting sqref="H62:I76 K62:K76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{5223DCE5-1D1F-4F04-B2A9-67C9B64F16D5}</x14:id>
        </ext>
      </extLst>
    </cfRule>
  </conditionalFormatting>
  <conditionalFormatting sqref="H78:I92 K78:K92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{D589DD63-DAD2-4CAC-A228-6D183BDCEAB2}</x14:id>
        </ext>
      </extLst>
    </cfRule>
  </conditionalFormatting>
  <conditionalFormatting sqref="J4:J24 J26:J41 J43:J60 J62:J76 J78:J92">
    <cfRule type="colorScale" priority="5">
      <colorScale>
        <cfvo type="min"/>
        <cfvo type="max"/>
        <color rgb="FFFCFCFF"/>
        <color rgb="FF63BE7B"/>
      </colorScale>
    </cfRule>
  </conditionalFormatting>
  <conditionalFormatting sqref="J78:J92 J62:J76 J43:J60 J26:J41 J4:J24">
    <cfRule type="colorScale" priority="2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Q3:U24">
    <cfRule type="colorScale" priority="65">
      <colorScale>
        <cfvo type="min"/>
        <cfvo type="max"/>
        <color rgb="FFFF7128"/>
        <color rgb="FFFFEF9C"/>
      </colorScale>
    </cfRule>
  </conditionalFormatting>
  <conditionalFormatting sqref="Q4:U24">
    <cfRule type="colorScale" priority="60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6:U41">
    <cfRule type="colorScale" priority="59">
      <colorScale>
        <cfvo type="min"/>
        <cfvo type="max"/>
        <color rgb="FFFFEF9C"/>
        <color rgb="FF63BE7B"/>
      </colorScale>
    </cfRule>
  </conditionalFormatting>
  <conditionalFormatting sqref="Q43:U60">
    <cfRule type="colorScale" priority="58">
      <colorScale>
        <cfvo type="min"/>
        <cfvo type="max"/>
        <color rgb="FFFFEF9C"/>
        <color rgb="FF63BE7B"/>
      </colorScale>
    </cfRule>
  </conditionalFormatting>
  <conditionalFormatting sqref="Q62:U76">
    <cfRule type="colorScale" priority="44">
      <colorScale>
        <cfvo type="min"/>
        <cfvo type="max"/>
        <color rgb="FFFFEF9C"/>
        <color rgb="FF63BE7B"/>
      </colorScale>
    </cfRule>
  </conditionalFormatting>
  <conditionalFormatting sqref="Q78:U92">
    <cfRule type="colorScale" priority="38">
      <colorScale>
        <cfvo type="min"/>
        <cfvo type="max"/>
        <color rgb="FFFFEF9C"/>
        <color rgb="FF63BE7B"/>
      </colorScale>
    </cfRule>
  </conditionalFormatting>
  <conditionalFormatting sqref="Y4:AA24 Y26:AA41 Y43:AA60">
    <cfRule type="colorScale" priority="57">
      <colorScale>
        <cfvo type="min"/>
        <cfvo type="max"/>
        <color rgb="FFFFEF9C"/>
        <color rgb="FF63BE7B"/>
      </colorScale>
    </cfRule>
  </conditionalFormatting>
  <conditionalFormatting sqref="Y62:AA76">
    <cfRule type="colorScale" priority="43">
      <colorScale>
        <cfvo type="min"/>
        <cfvo type="max"/>
        <color rgb="FFFFEF9C"/>
        <color rgb="FF63BE7B"/>
      </colorScale>
    </cfRule>
  </conditionalFormatting>
  <conditionalFormatting sqref="Y78:AA92">
    <cfRule type="colorScale" priority="37">
      <colorScale>
        <cfvo type="min"/>
        <cfvo type="max"/>
        <color rgb="FFFFEF9C"/>
        <color rgb="FF63BE7B"/>
      </colorScale>
    </cfRule>
  </conditionalFormatting>
  <conditionalFormatting sqref="AD4:AD24">
    <cfRule type="dataBar" priority="52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{48227A36-99F3-44B9-8696-78BC2E9758BE}</x14:id>
        </ext>
      </extLst>
    </cfRule>
  </conditionalFormatting>
  <conditionalFormatting sqref="AD43:AD60 AD26:AD41">
    <cfRule type="dataBar" priority="51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{F962C90D-E5F9-4E36-A899-81E8FC684C78}</x14:id>
        </ext>
      </extLst>
    </cfRule>
  </conditionalFormatting>
  <conditionalFormatting sqref="AD62:AD76">
    <cfRule type="dataBar" priority="40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{F0396ED7-C361-43FE-A5D7-6E35F9D48C25}</x14:id>
        </ext>
      </extLst>
    </cfRule>
  </conditionalFormatting>
  <conditionalFormatting sqref="AD78:AD92">
    <cfRule type="dataBar" priority="34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{E412F638-E6A8-48D8-8ACD-0A20DA7CC4D8}</x14:id>
        </ext>
      </extLst>
    </cfRule>
  </conditionalFormatting>
  <conditionalFormatting sqref="AI4:AL24 AI26:AL41 AI43:AL6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I62:AL7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I78:AL92">
    <cfRule type="colorScale" priority="36">
      <colorScale>
        <cfvo type="min"/>
        <cfvo type="max"/>
        <color rgb="FFFFEF9C"/>
        <color rgb="FF63BE7B"/>
      </colorScale>
    </cfRule>
  </conditionalFormatting>
  <conditionalFormatting sqref="AM4:AP24 AM26:AP41 AM43:AP60">
    <cfRule type="colorScale" priority="50">
      <colorScale>
        <cfvo type="min"/>
        <cfvo type="num" val="100"/>
        <color rgb="FFFFEF9C"/>
        <color rgb="FF63BE7B"/>
      </colorScale>
    </cfRule>
  </conditionalFormatting>
  <conditionalFormatting sqref="AM62:AP76">
    <cfRule type="colorScale" priority="39">
      <colorScale>
        <cfvo type="min"/>
        <cfvo type="num" val="100"/>
        <color rgb="FFFFEF9C"/>
        <color rgb="FF63BE7B"/>
      </colorScale>
    </cfRule>
  </conditionalFormatting>
  <conditionalFormatting sqref="AM78:AP92">
    <cfRule type="colorScale" priority="33">
      <colorScale>
        <cfvo type="min"/>
        <cfvo type="num" val="100"/>
        <color rgb="FFFFEF9C"/>
        <color rgb="FF63BE7B"/>
      </colorScale>
    </cfRule>
  </conditionalFormatting>
  <conditionalFormatting sqref="AV4:AV24 AV26:AV41 AV43:AV60 AV62:AV76 AV78:AV92">
    <cfRule type="colorScale" priority="8">
      <colorScale>
        <cfvo type="num" val="0"/>
        <cfvo type="num" val="16"/>
        <color rgb="FF63BE7B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BE4E14-A532-4380-A639-8C17395F1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E4:E24</xm:sqref>
        </x14:conditionalFormatting>
        <x14:conditionalFormatting xmlns:xm="http://schemas.microsoft.com/office/excel/2006/main">
          <x14:cfRule type="dataBar" id="{2ECBBCD8-3FFB-4FB2-8D71-4678C33DF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E26:E41</xm:sqref>
        </x14:conditionalFormatting>
        <x14:conditionalFormatting xmlns:xm="http://schemas.microsoft.com/office/excel/2006/main">
          <x14:cfRule type="dataBar" id="{A9A0B1E4-E97E-41FD-B6DE-10CE9DF77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E43:E60</xm:sqref>
        </x14:conditionalFormatting>
        <x14:conditionalFormatting xmlns:xm="http://schemas.microsoft.com/office/excel/2006/main">
          <x14:cfRule type="dataBar" id="{8A2D97CE-2FA7-4FB1-9666-3215AE00CA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E62:E76</xm:sqref>
        </x14:conditionalFormatting>
        <x14:conditionalFormatting xmlns:xm="http://schemas.microsoft.com/office/excel/2006/main">
          <x14:cfRule type="dataBar" id="{532AE1C5-5C76-48F3-BEE0-68BF027A1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E78:E92</xm:sqref>
        </x14:conditionalFormatting>
        <x14:conditionalFormatting xmlns:xm="http://schemas.microsoft.com/office/excel/2006/main">
          <x14:cfRule type="dataBar" id="{C741C212-2DBB-4C88-8942-A4C5FF5DA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F4:F24</xm:sqref>
        </x14:conditionalFormatting>
        <x14:conditionalFormatting xmlns:xm="http://schemas.microsoft.com/office/excel/2006/main">
          <x14:cfRule type="dataBar" id="{4EAF31AF-421B-4D74-A3CF-0CBDAC448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F26:F41</xm:sqref>
        </x14:conditionalFormatting>
        <x14:conditionalFormatting xmlns:xm="http://schemas.microsoft.com/office/excel/2006/main">
          <x14:cfRule type="dataBar" id="{5FA4B896-6675-401E-93AD-A88C513516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F43:F60</xm:sqref>
        </x14:conditionalFormatting>
        <x14:conditionalFormatting xmlns:xm="http://schemas.microsoft.com/office/excel/2006/main">
          <x14:cfRule type="dataBar" id="{4B6DB184-0709-4558-91A9-3460339C6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F62:F76</xm:sqref>
        </x14:conditionalFormatting>
        <x14:conditionalFormatting xmlns:xm="http://schemas.microsoft.com/office/excel/2006/main">
          <x14:cfRule type="dataBar" id="{5F4157F2-3C91-4372-9EEE-568F01A3E7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F78:F92</xm:sqref>
        </x14:conditionalFormatting>
        <x14:conditionalFormatting xmlns:xm="http://schemas.microsoft.com/office/excel/2006/main">
          <x14:cfRule type="dataBar" id="{953DF332-2E5F-4F11-9E96-13E868E68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H4:I24 K4:K24</xm:sqref>
        </x14:conditionalFormatting>
        <x14:conditionalFormatting xmlns:xm="http://schemas.microsoft.com/office/excel/2006/main">
          <x14:cfRule type="dataBar" id="{3B9E8C02-CBB6-4A33-ADEE-06FEA17A7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H26:I41 K26:K41 H43:I60 K43:K60</xm:sqref>
        </x14:conditionalFormatting>
        <x14:conditionalFormatting xmlns:xm="http://schemas.microsoft.com/office/excel/2006/main">
          <x14:cfRule type="dataBar" id="{5223DCE5-1D1F-4F04-B2A9-67C9B64F1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H62:I76 K62:K76</xm:sqref>
        </x14:conditionalFormatting>
        <x14:conditionalFormatting xmlns:xm="http://schemas.microsoft.com/office/excel/2006/main">
          <x14:cfRule type="dataBar" id="{D589DD63-DAD2-4CAC-A228-6D183BDCE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H78:I92 K78:K92</xm:sqref>
        </x14:conditionalFormatting>
        <x14:conditionalFormatting xmlns:xm="http://schemas.microsoft.com/office/excel/2006/main">
          <x14:cfRule type="dataBar" id="{48227A36-99F3-44B9-8696-78BC2E9758B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AD4:AD24</xm:sqref>
        </x14:conditionalFormatting>
        <x14:conditionalFormatting xmlns:xm="http://schemas.microsoft.com/office/excel/2006/main">
          <x14:cfRule type="dataBar" id="{F962C90D-E5F9-4E36-A899-81E8FC684C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AD43:AD60 AD26:AD41</xm:sqref>
        </x14:conditionalFormatting>
        <x14:conditionalFormatting xmlns:xm="http://schemas.microsoft.com/office/excel/2006/main">
          <x14:cfRule type="dataBar" id="{F0396ED7-C361-43FE-A5D7-6E35F9D48C2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AD62:AD76</xm:sqref>
        </x14:conditionalFormatting>
        <x14:conditionalFormatting xmlns:xm="http://schemas.microsoft.com/office/excel/2006/main">
          <x14:cfRule type="dataBar" id="{E412F638-E6A8-48D8-8ACD-0A20DA7CC4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AD78:AD92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0_file_size_TEST_0</vt:lpstr>
      <vt:lpstr>1_element_count_TEST_0</vt:lpstr>
      <vt:lpstr>2_font_sizes_TEST_0</vt:lpstr>
      <vt:lpstr>3_RGB_value_TEST_0</vt:lpstr>
      <vt:lpstr>4_single_char_TEST_0</vt:lpstr>
      <vt:lpstr>5_space_char_TEST_0</vt:lpstr>
      <vt:lpstr>6_unicode_TEST_0</vt:lpstr>
      <vt:lpstr>all_data_set_unified_file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2025-12-07T11:31:36Z</dcterms:created>
  <dcterms:modified xsi:type="dcterms:W3CDTF">2025-12-17T14:35:27Z</dcterms:modified>
</cp:coreProperties>
</file>